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Ex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harts/chart1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/>
  <mc:AlternateContent xmlns:mc="http://schemas.openxmlformats.org/markup-compatibility/2006">
    <mc:Choice Requires="x15">
      <x15ac:absPath xmlns:x15ac="http://schemas.microsoft.com/office/spreadsheetml/2010/11/ac" url="F:\Project\第6章 新媒体数据的可视化\第六章 数据\"/>
    </mc:Choice>
  </mc:AlternateContent>
  <xr:revisionPtr revIDLastSave="0" documentId="13_ncr:1_{54F43AEA-F09D-436D-B194-9CE0AFA7B16C}" xr6:coauthVersionLast="47" xr6:coauthVersionMax="47" xr10:uidLastSave="{00000000-0000-0000-0000-000000000000}"/>
  <bookViews>
    <workbookView xWindow="-110" yWindow="-110" windowWidth="22620" windowHeight="13620" firstSheet="9" activeTab="15" xr2:uid="{00000000-000D-0000-FFFF-FFFF00000000}"/>
  </bookViews>
  <sheets>
    <sheet name="柱形图" sheetId="1" r:id="rId1"/>
    <sheet name="饼图" sheetId="4" r:id="rId2"/>
    <sheet name="散点图" sheetId="7" r:id="rId3"/>
    <sheet name="折线图" sheetId="3" r:id="rId4"/>
    <sheet name="平均线图" sheetId="5" r:id="rId5"/>
    <sheet name="双坐标图" sheetId="6" r:id="rId6"/>
    <sheet name="竖形折线图" sheetId="2" r:id="rId7"/>
    <sheet name="瀑布图" sheetId="8" r:id="rId8"/>
    <sheet name="帕累托图" sheetId="10" r:id="rId9"/>
    <sheet name="旋风图" sheetId="11" r:id="rId10"/>
    <sheet name="金字塔图" sheetId="12" r:id="rId11"/>
    <sheet name="漏斗图" sheetId="13" r:id="rId12"/>
    <sheet name="矩形树图" sheetId="14" r:id="rId13"/>
    <sheet name="气泡图" sheetId="9" r:id="rId14"/>
    <sheet name="图6-134" sheetId="16" r:id="rId15"/>
    <sheet name="图6-135" sheetId="17" r:id="rId16"/>
    <sheet name="课后案例分析" sheetId="15" r:id="rId17"/>
  </sheets>
  <definedNames>
    <definedName name="_xlchart.v1.0" hidden="1">瀑布图!$A$3:$A$13</definedName>
    <definedName name="_xlchart.v1.1" hidden="1">瀑布图!$C$2</definedName>
    <definedName name="_xlchart.v1.2" hidden="1">瀑布图!$C$3:$C$13</definedName>
    <definedName name="_xlchart.v1.6" hidden="1">矩形树图!$A$3:$A$8</definedName>
    <definedName name="_xlchart.v1.7" hidden="1">矩形树图!$B$2</definedName>
    <definedName name="_xlchart.v1.8" hidden="1">矩形树图!$B$3:$B$8</definedName>
    <definedName name="_xlchart.v2.3" hidden="1">漏斗图!$A$3:$A$7</definedName>
    <definedName name="_xlchart.v2.4" hidden="1">漏斗图!$B$2</definedName>
    <definedName name="_xlchart.v2.5" hidden="1">漏斗图!$B$3:$B$7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8" i="15" l="1"/>
  <c r="C9" i="15"/>
  <c r="C7" i="15"/>
  <c r="C6" i="15"/>
  <c r="C5" i="15"/>
  <c r="C4" i="15"/>
  <c r="C3" i="15"/>
  <c r="C6" i="5"/>
  <c r="C4" i="8"/>
  <c r="C5" i="8"/>
  <c r="C6" i="8"/>
  <c r="C7" i="8"/>
  <c r="C8" i="8"/>
  <c r="C9" i="8"/>
  <c r="C10" i="8"/>
  <c r="C11" i="8"/>
  <c r="C12" i="8"/>
  <c r="C13" i="8"/>
  <c r="C3" i="5"/>
  <c r="C3" i="10"/>
  <c r="C11" i="10"/>
  <c r="C10" i="10"/>
  <c r="C9" i="10"/>
  <c r="C8" i="10"/>
  <c r="C7" i="10"/>
  <c r="C6" i="10"/>
  <c r="C5" i="10"/>
  <c r="C4" i="10"/>
  <c r="D3" i="10"/>
  <c r="C4" i="4"/>
  <c r="C5" i="4"/>
  <c r="C6" i="4"/>
  <c r="C7" i="4"/>
  <c r="C8" i="4"/>
  <c r="C9" i="4"/>
  <c r="C10" i="4"/>
  <c r="C11" i="4"/>
  <c r="C3" i="4"/>
  <c r="D4" i="10"/>
  <c r="D5" i="10"/>
  <c r="D6" i="10"/>
  <c r="D7" i="10"/>
  <c r="D9" i="10"/>
  <c r="D8" i="10"/>
  <c r="D10" i="10"/>
  <c r="D11" i="10"/>
  <c r="C4" i="5"/>
  <c r="C5" i="5"/>
  <c r="C7" i="5"/>
  <c r="C8" i="5"/>
</calcChain>
</file>

<file path=xl/sharedStrings.xml><?xml version="1.0" encoding="utf-8"?>
<sst xmlns="http://schemas.openxmlformats.org/spreadsheetml/2006/main" count="168" uniqueCount="102">
  <si>
    <t>年份</t>
    <phoneticPr fontId="1" type="noConversion"/>
  </si>
  <si>
    <t>所占百分比</t>
    <phoneticPr fontId="1" type="noConversion"/>
  </si>
  <si>
    <t>地区</t>
    <phoneticPr fontId="1" type="noConversion"/>
  </si>
  <si>
    <t>电商广告</t>
  </si>
  <si>
    <t>搜索广告</t>
  </si>
  <si>
    <t>视频广告</t>
  </si>
  <si>
    <t>社交广告</t>
  </si>
  <si>
    <t>分类广告</t>
  </si>
  <si>
    <t>工具</t>
  </si>
  <si>
    <t>垂直</t>
  </si>
  <si>
    <t>其他</t>
  </si>
  <si>
    <t>类别</t>
    <phoneticPr fontId="1" type="noConversion"/>
  </si>
  <si>
    <t>新闻资讯</t>
    <phoneticPr fontId="1" type="noConversion"/>
  </si>
  <si>
    <t>阿里巴巴</t>
    <phoneticPr fontId="1" type="noConversion"/>
  </si>
  <si>
    <t>京东</t>
    <phoneticPr fontId="1" type="noConversion"/>
  </si>
  <si>
    <t>腾讯</t>
    <phoneticPr fontId="1" type="noConversion"/>
  </si>
  <si>
    <t>百度</t>
    <phoneticPr fontId="1" type="noConversion"/>
  </si>
  <si>
    <t>第一季度</t>
    <phoneticPr fontId="1" type="noConversion"/>
  </si>
  <si>
    <t>第二季度</t>
    <phoneticPr fontId="1" type="noConversion"/>
  </si>
  <si>
    <t>第三季度</t>
    <phoneticPr fontId="1" type="noConversion"/>
  </si>
  <si>
    <t>网络广告市场规模年增长率</t>
    <phoneticPr fontId="1" type="noConversion"/>
  </si>
  <si>
    <t>增幅
（百分比）</t>
    <phoneticPr fontId="1" type="noConversion"/>
  </si>
  <si>
    <t>2019年前三季度网络广告收入统计表</t>
    <phoneticPr fontId="1" type="noConversion"/>
  </si>
  <si>
    <t>收入</t>
    <phoneticPr fontId="1" type="noConversion"/>
  </si>
  <si>
    <t>直播总用户</t>
    <phoneticPr fontId="1" type="noConversion"/>
  </si>
  <si>
    <t>网络视频直播的用户数据</t>
    <phoneticPr fontId="1" type="noConversion"/>
  </si>
  <si>
    <t>游戏直播用户</t>
    <phoneticPr fontId="1" type="noConversion"/>
  </si>
  <si>
    <t>2014年</t>
    <phoneticPr fontId="1" type="noConversion"/>
  </si>
  <si>
    <t>2015年</t>
    <phoneticPr fontId="1" type="noConversion"/>
  </si>
  <si>
    <t>2016年</t>
  </si>
  <si>
    <t>2017年</t>
  </si>
  <si>
    <t>2018年</t>
  </si>
  <si>
    <t>2019年</t>
  </si>
  <si>
    <t>总投资额（亿元）</t>
    <phoneticPr fontId="1" type="noConversion"/>
  </si>
  <si>
    <t>平均融资额（亿元）</t>
    <phoneticPr fontId="1" type="noConversion"/>
  </si>
  <si>
    <t>2014-2019年直播行业融资额</t>
    <phoneticPr fontId="1" type="noConversion"/>
  </si>
  <si>
    <t>应用</t>
    <phoneticPr fontId="1" type="noConversion"/>
  </si>
  <si>
    <t>搜索引擎</t>
    <phoneticPr fontId="1" type="noConversion"/>
  </si>
  <si>
    <t>网络新闻</t>
    <phoneticPr fontId="1" type="noConversion"/>
  </si>
  <si>
    <t>网络视频</t>
    <phoneticPr fontId="1" type="noConversion"/>
  </si>
  <si>
    <t>网络音乐</t>
    <phoneticPr fontId="1" type="noConversion"/>
  </si>
  <si>
    <t>网络游戏</t>
    <phoneticPr fontId="1" type="noConversion"/>
  </si>
  <si>
    <t>短视频</t>
    <phoneticPr fontId="1" type="noConversion"/>
  </si>
  <si>
    <t>用户规模</t>
    <phoneticPr fontId="1" type="noConversion"/>
  </si>
  <si>
    <t>网民互联网使用情况</t>
    <phoneticPr fontId="1" type="noConversion"/>
  </si>
  <si>
    <t>2019年度互联网舆论场热点事件</t>
    <phoneticPr fontId="1" type="noConversion"/>
  </si>
  <si>
    <t>全国多地推行垃圾分类制度</t>
    <phoneticPr fontId="1" type="noConversion"/>
  </si>
  <si>
    <t>论坛</t>
    <phoneticPr fontId="1" type="noConversion"/>
  </si>
  <si>
    <t>博客</t>
    <phoneticPr fontId="1" type="noConversion"/>
  </si>
  <si>
    <t>报刊</t>
    <phoneticPr fontId="1" type="noConversion"/>
  </si>
  <si>
    <t>APP采集</t>
    <phoneticPr fontId="1" type="noConversion"/>
  </si>
  <si>
    <t>微博</t>
    <phoneticPr fontId="1" type="noConversion"/>
  </si>
  <si>
    <t>中美经贸摩擦</t>
    <phoneticPr fontId="1" type="noConversion"/>
  </si>
  <si>
    <t>辅助列1</t>
    <phoneticPr fontId="1" type="noConversion"/>
  </si>
  <si>
    <t>事件</t>
    <phoneticPr fontId="1" type="noConversion"/>
  </si>
  <si>
    <t>辅助列2</t>
    <phoneticPr fontId="1" type="noConversion"/>
  </si>
  <si>
    <t>公司</t>
    <phoneticPr fontId="1" type="noConversion"/>
  </si>
  <si>
    <t>网易</t>
    <phoneticPr fontId="1" type="noConversion"/>
  </si>
  <si>
    <t>世纪华通</t>
    <phoneticPr fontId="1" type="noConversion"/>
  </si>
  <si>
    <t>三七互娱</t>
    <phoneticPr fontId="1" type="noConversion"/>
  </si>
  <si>
    <t>完美世界</t>
    <phoneticPr fontId="1" type="noConversion"/>
  </si>
  <si>
    <t>昆仑万维</t>
    <phoneticPr fontId="1" type="noConversion"/>
  </si>
  <si>
    <t>游族网络</t>
    <phoneticPr fontId="1" type="noConversion"/>
  </si>
  <si>
    <t>2019年主要游戏上市公司收入情况</t>
    <phoneticPr fontId="1" type="noConversion"/>
  </si>
  <si>
    <t>互联网广告收入行业分布</t>
    <phoneticPr fontId="1" type="noConversion"/>
  </si>
  <si>
    <t>2019年互联网广告收入行业分布</t>
    <phoneticPr fontId="1" type="noConversion"/>
  </si>
  <si>
    <t>累计百分比</t>
    <phoneticPr fontId="1" type="noConversion"/>
  </si>
  <si>
    <t>所占百分比</t>
    <phoneticPr fontId="1" type="noConversion"/>
  </si>
  <si>
    <t>平台类别</t>
    <phoneticPr fontId="1" type="noConversion"/>
  </si>
  <si>
    <t>搜索类平台</t>
    <phoneticPr fontId="1" type="noConversion"/>
  </si>
  <si>
    <t>门户资讯平台</t>
    <phoneticPr fontId="1" type="noConversion"/>
  </si>
  <si>
    <t>咨询短视频平台</t>
    <phoneticPr fontId="1" type="noConversion"/>
  </si>
  <si>
    <t>其他短视频平台</t>
    <phoneticPr fontId="1" type="noConversion"/>
  </si>
  <si>
    <t>社交平台</t>
    <phoneticPr fontId="1" type="noConversion"/>
  </si>
  <si>
    <t>聚合咨询平台</t>
    <phoneticPr fontId="1" type="noConversion"/>
  </si>
  <si>
    <t>传统媒体平台</t>
    <phoneticPr fontId="1" type="noConversion"/>
  </si>
  <si>
    <t>网络视频平台</t>
    <phoneticPr fontId="1" type="noConversion"/>
  </si>
  <si>
    <t>垂直资讯平台</t>
    <phoneticPr fontId="1" type="noConversion"/>
  </si>
  <si>
    <t>其他平台</t>
    <phoneticPr fontId="1" type="noConversion"/>
  </si>
  <si>
    <t>2020年中国资讯短视频用户观看渠道偏好</t>
    <phoneticPr fontId="1" type="noConversion"/>
  </si>
  <si>
    <t>使用该渠道观看过</t>
    <phoneticPr fontId="1" type="noConversion"/>
  </si>
  <si>
    <t>最常使用的渠道</t>
    <phoneticPr fontId="1" type="noConversion"/>
  </si>
  <si>
    <t>辅助列</t>
    <phoneticPr fontId="1" type="noConversion"/>
  </si>
  <si>
    <t>访问网站</t>
    <phoneticPr fontId="1" type="noConversion"/>
  </si>
  <si>
    <t>下载产品</t>
    <phoneticPr fontId="1" type="noConversion"/>
  </si>
  <si>
    <t>询价</t>
    <phoneticPr fontId="1" type="noConversion"/>
  </si>
  <si>
    <t>发送合同</t>
    <phoneticPr fontId="1" type="noConversion"/>
  </si>
  <si>
    <t>成交</t>
    <phoneticPr fontId="1" type="noConversion"/>
  </si>
  <si>
    <t>销售步骤</t>
    <phoneticPr fontId="1" type="noConversion"/>
  </si>
  <si>
    <t>总投资次数（次）</t>
    <phoneticPr fontId="1" type="noConversion"/>
  </si>
  <si>
    <t>2014-2019年直播行业融资情况</t>
    <phoneticPr fontId="1" type="noConversion"/>
  </si>
  <si>
    <t>某平台销售情况</t>
    <phoneticPr fontId="1" type="noConversion"/>
  </si>
  <si>
    <t>用户规模（万）</t>
    <phoneticPr fontId="1" type="noConversion"/>
  </si>
  <si>
    <t>网民使用率（百分比）</t>
    <phoneticPr fontId="1" type="noConversion"/>
  </si>
  <si>
    <t>新闻</t>
    <phoneticPr fontId="1" type="noConversion"/>
  </si>
  <si>
    <t>B站</t>
    <phoneticPr fontId="1" type="noConversion"/>
  </si>
  <si>
    <t>巨人网络</t>
    <phoneticPr fontId="1" type="noConversion"/>
  </si>
  <si>
    <t>宝通科技</t>
    <phoneticPr fontId="1" type="noConversion"/>
  </si>
  <si>
    <t>掌趣科技</t>
    <phoneticPr fontId="1" type="noConversion"/>
  </si>
  <si>
    <t>总收入（亿元）</t>
    <phoneticPr fontId="1" type="noConversion"/>
  </si>
  <si>
    <t>收入（亿元）</t>
    <phoneticPr fontId="1" type="noConversion"/>
  </si>
  <si>
    <t>平均收入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</si>
</sst>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theme="1"/>
      <name val="华文楷体"/>
      <family val="3"/>
      <charset val="134"/>
    </font>
    <font>
      <b/>
      <sz val="11"/>
      <color theme="1"/>
      <name val="华文楷体"/>
      <family val="3"/>
      <charset val="134"/>
    </font>
    <font>
      <b/>
      <sz val="14"/>
      <color theme="1"/>
      <name val="华文楷体"/>
      <family val="3"/>
      <charset val="134"/>
    </font>
    <font>
      <b/>
      <sz val="16"/>
      <color theme="1"/>
      <name val="华文楷体"/>
      <family val="3"/>
      <charset val="134"/>
    </font>
    <font>
      <sz val="10"/>
      <color theme="1"/>
      <name val="Courier New"/>
      <family val="3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57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0" fontId="2" fillId="0" borderId="1" xfId="0" applyNumberFormat="1" applyFont="1" applyBorder="1">
      <alignment vertical="center"/>
    </xf>
    <xf numFmtId="0" fontId="0" fillId="0" borderId="3" xfId="0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2">
    <cellStyle name="常规" xfId="0" builtinId="0"/>
    <cellStyle name="常规 2" xfId="1" xr:uid="{C1A13B7C-A843-4472-ACF4-CF8F7D6F82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>
                <a:latin typeface="楷体" panose="02010609060101010101" pitchFamily="49" charset="-122"/>
                <a:ea typeface="楷体" panose="02010609060101010101" pitchFamily="49" charset="-122"/>
              </a:rPr>
              <a:t>2019</a:t>
            </a:r>
            <a:r>
              <a:rPr lang="zh-CN" altLang="en-US">
                <a:latin typeface="楷体" panose="02010609060101010101" pitchFamily="49" charset="-122"/>
                <a:ea typeface="楷体" panose="02010609060101010101" pitchFamily="49" charset="-122"/>
              </a:rPr>
              <a:t>年前三季度网络广告收入统计图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柱形图!$A$3</c:f>
              <c:strCache>
                <c:ptCount val="1"/>
                <c:pt idx="0">
                  <c:v>阿里巴巴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柱形图!$B$2:$D$2</c:f>
              <c:strCache>
                <c:ptCount val="3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</c:strCache>
            </c:strRef>
          </c:cat>
          <c:val>
            <c:numRef>
              <c:f>柱形图!$B$3:$D$3</c:f>
              <c:numCache>
                <c:formatCode>General</c:formatCode>
                <c:ptCount val="3"/>
                <c:pt idx="0">
                  <c:v>301.19</c:v>
                </c:pt>
                <c:pt idx="1">
                  <c:v>419.54</c:v>
                </c:pt>
                <c:pt idx="2">
                  <c:v>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04-4B34-A7C3-A73A49FF1801}"/>
            </c:ext>
          </c:extLst>
        </c:ser>
        <c:ser>
          <c:idx val="1"/>
          <c:order val="1"/>
          <c:tx>
            <c:strRef>
              <c:f>柱形图!$A$4</c:f>
              <c:strCache>
                <c:ptCount val="1"/>
                <c:pt idx="0">
                  <c:v>京东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柱形图!$B$2:$D$2</c:f>
              <c:strCache>
                <c:ptCount val="3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</c:strCache>
            </c:strRef>
          </c:cat>
          <c:val>
            <c:numRef>
              <c:f>柱形图!$B$4:$D$4</c:f>
              <c:numCache>
                <c:formatCode>General</c:formatCode>
                <c:ptCount val="3"/>
                <c:pt idx="0">
                  <c:v>81.44</c:v>
                </c:pt>
                <c:pt idx="1">
                  <c:v>110.77</c:v>
                </c:pt>
                <c:pt idx="2">
                  <c:v>99.86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04-4B34-A7C3-A73A49FF1801}"/>
            </c:ext>
          </c:extLst>
        </c:ser>
        <c:ser>
          <c:idx val="2"/>
          <c:order val="2"/>
          <c:tx>
            <c:strRef>
              <c:f>柱形图!$A$5</c:f>
              <c:strCache>
                <c:ptCount val="1"/>
                <c:pt idx="0">
                  <c:v>腾讯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柱形图!$B$2:$D$2</c:f>
              <c:strCache>
                <c:ptCount val="3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</c:strCache>
            </c:strRef>
          </c:cat>
          <c:val>
            <c:numRef>
              <c:f>柱形图!$B$5:$D$5</c:f>
              <c:numCache>
                <c:formatCode>General</c:formatCode>
                <c:ptCount val="3"/>
                <c:pt idx="0">
                  <c:v>133.77000000000001</c:v>
                </c:pt>
                <c:pt idx="1">
                  <c:v>164.09</c:v>
                </c:pt>
                <c:pt idx="2">
                  <c:v>183.66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04-4B34-A7C3-A73A49FF1801}"/>
            </c:ext>
          </c:extLst>
        </c:ser>
        <c:ser>
          <c:idx val="3"/>
          <c:order val="3"/>
          <c:tx>
            <c:strRef>
              <c:f>柱形图!$A$6</c:f>
              <c:strCache>
                <c:ptCount val="1"/>
                <c:pt idx="0">
                  <c:v>百度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柱形图!$B$2:$D$2</c:f>
              <c:strCache>
                <c:ptCount val="3"/>
                <c:pt idx="0">
                  <c:v>第一季度</c:v>
                </c:pt>
                <c:pt idx="1">
                  <c:v>第二季度</c:v>
                </c:pt>
                <c:pt idx="2">
                  <c:v>第三季度</c:v>
                </c:pt>
              </c:strCache>
            </c:strRef>
          </c:cat>
          <c:val>
            <c:numRef>
              <c:f>柱形图!$B$6:$D$6</c:f>
              <c:numCache>
                <c:formatCode>General</c:formatCode>
                <c:ptCount val="3"/>
                <c:pt idx="0">
                  <c:v>176.77</c:v>
                </c:pt>
                <c:pt idx="1">
                  <c:v>192.37</c:v>
                </c:pt>
                <c:pt idx="2">
                  <c:v>204.34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04-4B34-A7C3-A73A49FF1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5719072"/>
        <c:axId val="1625726976"/>
      </c:barChart>
      <c:catAx>
        <c:axId val="162571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季度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楷体" panose="02010609060101010101" pitchFamily="49" charset="-122"/>
                <a:ea typeface="楷体" panose="02010609060101010101" pitchFamily="49" charset="-122"/>
                <a:cs typeface="+mn-cs"/>
              </a:defRPr>
            </a:pPr>
            <a:endParaRPr lang="zh-CN"/>
          </a:p>
        </c:txPr>
        <c:crossAx val="1625726976"/>
        <c:crosses val="autoZero"/>
        <c:auto val="1"/>
        <c:lblAlgn val="ctr"/>
        <c:lblOffset val="100"/>
        <c:noMultiLvlLbl val="0"/>
      </c:catAx>
      <c:valAx>
        <c:axId val="162572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收入（亿元）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2571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饼图!$B$2</c:f>
              <c:strCache>
                <c:ptCount val="1"/>
                <c:pt idx="0">
                  <c:v>收入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4AB-4A67-AE21-2B62602566A5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4AB-4A67-AE21-2B62602566A5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4AB-4A67-AE21-2B62602566A5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4AB-4A67-AE21-2B62602566A5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4AB-4A67-AE21-2B62602566A5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4AB-4A67-AE21-2B62602566A5}"/>
              </c:ext>
            </c:extLst>
          </c:dPt>
          <c:dPt>
            <c:idx val="6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4AB-4A67-AE21-2B62602566A5}"/>
              </c:ext>
            </c:extLst>
          </c:dPt>
          <c:dPt>
            <c:idx val="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4AB-4A67-AE21-2B62602566A5}"/>
              </c:ext>
            </c:extLst>
          </c:dPt>
          <c:dPt>
            <c:idx val="8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4AB-4A67-AE21-2B62602566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饼图!$A$3:$A$11</c:f>
              <c:strCache>
                <c:ptCount val="9"/>
                <c:pt idx="0">
                  <c:v>电商广告</c:v>
                </c:pt>
                <c:pt idx="1">
                  <c:v>搜索广告</c:v>
                </c:pt>
                <c:pt idx="2">
                  <c:v>视频广告</c:v>
                </c:pt>
                <c:pt idx="3">
                  <c:v>新闻资讯</c:v>
                </c:pt>
                <c:pt idx="4">
                  <c:v>社交广告</c:v>
                </c:pt>
                <c:pt idx="5">
                  <c:v>分类广告</c:v>
                </c:pt>
                <c:pt idx="6">
                  <c:v>工具</c:v>
                </c:pt>
                <c:pt idx="7">
                  <c:v>垂直</c:v>
                </c:pt>
                <c:pt idx="8">
                  <c:v>其他</c:v>
                </c:pt>
              </c:strCache>
            </c:strRef>
          </c:cat>
          <c:val>
            <c:numRef>
              <c:f>饼图!$B$3:$B$11</c:f>
              <c:numCache>
                <c:formatCode>General</c:formatCode>
                <c:ptCount val="9"/>
                <c:pt idx="0">
                  <c:v>1567.8</c:v>
                </c:pt>
                <c:pt idx="1">
                  <c:v>624.5</c:v>
                </c:pt>
                <c:pt idx="2">
                  <c:v>545.9</c:v>
                </c:pt>
                <c:pt idx="3">
                  <c:v>515.29999999999995</c:v>
                </c:pt>
                <c:pt idx="4">
                  <c:v>432.3</c:v>
                </c:pt>
                <c:pt idx="5">
                  <c:v>187.8</c:v>
                </c:pt>
                <c:pt idx="6">
                  <c:v>96.1</c:v>
                </c:pt>
                <c:pt idx="7">
                  <c:v>56.8</c:v>
                </c:pt>
                <c:pt idx="8">
                  <c:v>310.10000000000002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B-499D-BCE5-BA55CC1410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楷体" panose="02010609060101010101" pitchFamily="49" charset="-122"/>
              <a:ea typeface="楷体" panose="02010609060101010101" pitchFamily="49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散点图!$C$2</c:f>
              <c:strCache>
                <c:ptCount val="1"/>
                <c:pt idx="0">
                  <c:v>游戏直播用户</c:v>
                </c:pt>
              </c:strCache>
            </c:strRef>
          </c:tx>
          <c:spPr>
            <a:ln w="19050" cap="rnd">
              <a:noFill/>
              <a:round/>
            </a:ln>
            <a:effectLst>
              <a:glow rad="63500">
                <a:srgbClr val="FF0000">
                  <a:alpha val="40000"/>
                </a:srgbClr>
              </a:glow>
            </a:effectLst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>
                <a:glow rad="63500">
                  <a:srgbClr val="FF0000">
                    <a:alpha val="40000"/>
                  </a:srgbClr>
                </a:glow>
              </a:effectLst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散点图!$B$3:$B$9</c:f>
              <c:numCache>
                <c:formatCode>General</c:formatCode>
                <c:ptCount val="7"/>
                <c:pt idx="0">
                  <c:v>3.25</c:v>
                </c:pt>
                <c:pt idx="1">
                  <c:v>3.44</c:v>
                </c:pt>
                <c:pt idx="2">
                  <c:v>3.43</c:v>
                </c:pt>
                <c:pt idx="3">
                  <c:v>4.22</c:v>
                </c:pt>
                <c:pt idx="4">
                  <c:v>4.25</c:v>
                </c:pt>
                <c:pt idx="5">
                  <c:v>3.97</c:v>
                </c:pt>
                <c:pt idx="6">
                  <c:v>4.33</c:v>
                </c:pt>
              </c:numCache>
            </c:numRef>
          </c:xVal>
          <c:yVal>
            <c:numRef>
              <c:f>散点图!$C$3:$C$9</c:f>
              <c:numCache>
                <c:formatCode>General</c:formatCode>
                <c:ptCount val="7"/>
                <c:pt idx="0">
                  <c:v>1.17</c:v>
                </c:pt>
                <c:pt idx="1">
                  <c:v>1.46</c:v>
                </c:pt>
                <c:pt idx="2">
                  <c:v>1.8</c:v>
                </c:pt>
                <c:pt idx="3">
                  <c:v>2.2400000000000002</c:v>
                </c:pt>
                <c:pt idx="4">
                  <c:v>2.15</c:v>
                </c:pt>
                <c:pt idx="5">
                  <c:v>2.2999999999999998</c:v>
                </c:pt>
                <c:pt idx="6">
                  <c:v>2.4300000000000002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07-4985-BC3E-0F51F4DF5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516288"/>
        <c:axId val="1602525856"/>
      </c:scatterChart>
      <c:valAx>
        <c:axId val="1602516288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latin typeface="楷体" panose="02010609060101010101" pitchFamily="49" charset="-122"/>
                    <a:ea typeface="楷体" panose="02010609060101010101" pitchFamily="49" charset="-122"/>
                  </a:rPr>
                  <a:t>直播总用户（亿）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2525856"/>
        <c:crosses val="autoZero"/>
        <c:crossBetween val="midCat"/>
      </c:valAx>
      <c:valAx>
        <c:axId val="160252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>
                    <a:latin typeface="楷体" panose="02010609060101010101" pitchFamily="49" charset="-122"/>
                    <a:ea typeface="楷体" panose="02010609060101010101" pitchFamily="49" charset="-122"/>
                  </a:rPr>
                  <a:t>游戏直播用户（亿）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251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baseline="0">
                <a:effectLst/>
                <a:latin typeface="楷体" panose="02010609060101010101" pitchFamily="49" charset="-122"/>
                <a:ea typeface="楷体" panose="02010609060101010101" pitchFamily="49" charset="-122"/>
              </a:rPr>
              <a:t>网络广告市场规模年增长率变化图</a:t>
            </a:r>
            <a:endParaRPr lang="zh-CN" altLang="zh-CN" sz="1100">
              <a:effectLst/>
              <a:latin typeface="楷体" panose="02010609060101010101" pitchFamily="49" charset="-122"/>
              <a:ea typeface="楷体" panose="02010609060101010101" pitchFamily="49" charset="-122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折线图!$A$3</c:f>
              <c:strCache>
                <c:ptCount val="1"/>
                <c:pt idx="0">
                  <c:v>增幅
（百分比）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折线图!$B$2:$K$2</c:f>
              <c:numCache>
                <c:formatCode>General</c:formatCode>
                <c:ptCount val="10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</c:numCache>
            </c:numRef>
          </c:cat>
          <c:val>
            <c:numRef>
              <c:f>折线图!$B$3:$K$3</c:f>
              <c:numCache>
                <c:formatCode>General</c:formatCode>
                <c:ptCount val="10"/>
                <c:pt idx="0">
                  <c:v>70.2</c:v>
                </c:pt>
                <c:pt idx="1">
                  <c:v>60.4</c:v>
                </c:pt>
                <c:pt idx="2">
                  <c:v>47.6</c:v>
                </c:pt>
                <c:pt idx="3">
                  <c:v>45.85</c:v>
                </c:pt>
                <c:pt idx="4">
                  <c:v>51.7</c:v>
                </c:pt>
                <c:pt idx="5">
                  <c:v>35.299999999999997</c:v>
                </c:pt>
                <c:pt idx="6">
                  <c:v>29.87</c:v>
                </c:pt>
                <c:pt idx="7">
                  <c:v>29.06</c:v>
                </c:pt>
                <c:pt idx="8">
                  <c:v>24.21</c:v>
                </c:pt>
                <c:pt idx="9">
                  <c:v>18.22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BF-4FA4-BD2A-4F40D260AB3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02141184"/>
        <c:axId val="16021428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折线图!$A$1</c15:sqref>
                        </c15:formulaRef>
                      </c:ext>
                    </c:extLst>
                    <c:strCache>
                      <c:ptCount val="1"/>
                      <c:pt idx="0">
                        <c:v>网络广告市场规模年增长率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折线图!$B$2:$K$2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2010</c:v>
                      </c:pt>
                      <c:pt idx="1">
                        <c:v>2011</c:v>
                      </c:pt>
                      <c:pt idx="2">
                        <c:v>2012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  <c:pt idx="6">
                        <c:v>2016</c:v>
                      </c:pt>
                      <c:pt idx="7">
                        <c:v>2017</c:v>
                      </c:pt>
                      <c:pt idx="8">
                        <c:v>2018</c:v>
                      </c:pt>
                      <c:pt idx="9">
                        <c:v>2019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折线图!$B$1:$K$1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CDBF-4FA4-BD2A-4F40D260AB3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折线图!$A$2</c15:sqref>
                        </c15:formulaRef>
                      </c:ext>
                    </c:extLst>
                    <c:strCache>
                      <c:ptCount val="1"/>
                      <c:pt idx="0">
                        <c:v>年份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CN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折线图!$B$2:$K$2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2010</c:v>
                      </c:pt>
                      <c:pt idx="1">
                        <c:v>2011</c:v>
                      </c:pt>
                      <c:pt idx="2">
                        <c:v>2012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  <c:pt idx="6">
                        <c:v>2016</c:v>
                      </c:pt>
                      <c:pt idx="7">
                        <c:v>2017</c:v>
                      </c:pt>
                      <c:pt idx="8">
                        <c:v>2018</c:v>
                      </c:pt>
                      <c:pt idx="9">
                        <c:v>2019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折线图!$B$2:$K$2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2010</c:v>
                      </c:pt>
                      <c:pt idx="1">
                        <c:v>2011</c:v>
                      </c:pt>
                      <c:pt idx="2">
                        <c:v>2012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  <c:pt idx="6">
                        <c:v>2016</c:v>
                      </c:pt>
                      <c:pt idx="7">
                        <c:v>2017</c:v>
                      </c:pt>
                      <c:pt idx="8">
                        <c:v>2018</c:v>
                      </c:pt>
                      <c:pt idx="9">
                        <c:v>2019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DBF-4FA4-BD2A-4F40D260AB3B}"/>
                  </c:ext>
                </c:extLst>
              </c15:ser>
            </c15:filteredLineSeries>
          </c:ext>
        </c:extLst>
      </c:lineChart>
      <c:catAx>
        <c:axId val="1602141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年份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2142848"/>
        <c:crosses val="autoZero"/>
        <c:auto val="1"/>
        <c:lblAlgn val="ctr"/>
        <c:lblOffset val="100"/>
        <c:noMultiLvlLbl val="0"/>
      </c:catAx>
      <c:valAx>
        <c:axId val="160214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增幅（百分比）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214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>
                <a:latin typeface="楷体" panose="02010609060101010101" pitchFamily="49" charset="-122"/>
                <a:ea typeface="楷体" panose="02010609060101010101" pitchFamily="49" charset="-122"/>
              </a:rPr>
              <a:t>2014-2019</a:t>
            </a:r>
            <a:r>
              <a:rPr lang="zh-CN" altLang="en-US">
                <a:latin typeface="楷体" panose="02010609060101010101" pitchFamily="49" charset="-122"/>
                <a:ea typeface="楷体" panose="02010609060101010101" pitchFamily="49" charset="-122"/>
              </a:rPr>
              <a:t>年直播行业融资额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平均线图!$B$2</c:f>
              <c:strCache>
                <c:ptCount val="1"/>
                <c:pt idx="0">
                  <c:v>总投资额（亿元）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平均线图!$A$3:$A$8</c:f>
              <c:strCache>
                <c:ptCount val="6"/>
                <c:pt idx="0">
                  <c:v>2014年</c:v>
                </c:pt>
                <c:pt idx="1">
                  <c:v>2015年</c:v>
                </c:pt>
                <c:pt idx="2">
                  <c:v>2016年</c:v>
                </c:pt>
                <c:pt idx="3">
                  <c:v>2017年</c:v>
                </c:pt>
                <c:pt idx="4">
                  <c:v>2018年</c:v>
                </c:pt>
                <c:pt idx="5">
                  <c:v>2019年</c:v>
                </c:pt>
              </c:strCache>
            </c:strRef>
          </c:cat>
          <c:val>
            <c:numRef>
              <c:f>平均线图!$B$3:$B$8</c:f>
              <c:numCache>
                <c:formatCode>General</c:formatCode>
                <c:ptCount val="6"/>
                <c:pt idx="0">
                  <c:v>36.1</c:v>
                </c:pt>
                <c:pt idx="1">
                  <c:v>69.8</c:v>
                </c:pt>
                <c:pt idx="2">
                  <c:v>188.1</c:v>
                </c:pt>
                <c:pt idx="3">
                  <c:v>140.19999999999999</c:v>
                </c:pt>
                <c:pt idx="4">
                  <c:v>224.4</c:v>
                </c:pt>
                <c:pt idx="5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0-4110-9454-8A503EB42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764526624"/>
        <c:axId val="1764528288"/>
      </c:barChart>
      <c:lineChart>
        <c:grouping val="standard"/>
        <c:varyColors val="0"/>
        <c:ser>
          <c:idx val="1"/>
          <c:order val="1"/>
          <c:tx>
            <c:strRef>
              <c:f>平均线图!$C$2</c:f>
              <c:strCache>
                <c:ptCount val="1"/>
                <c:pt idx="0">
                  <c:v>平均融资额（亿元）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平均线图!$A$3:$A$8</c:f>
              <c:strCache>
                <c:ptCount val="6"/>
                <c:pt idx="0">
                  <c:v>2014年</c:v>
                </c:pt>
                <c:pt idx="1">
                  <c:v>2015年</c:v>
                </c:pt>
                <c:pt idx="2">
                  <c:v>2016年</c:v>
                </c:pt>
                <c:pt idx="3">
                  <c:v>2017年</c:v>
                </c:pt>
                <c:pt idx="4">
                  <c:v>2018年</c:v>
                </c:pt>
                <c:pt idx="5">
                  <c:v>2019年</c:v>
                </c:pt>
              </c:strCache>
            </c:strRef>
          </c:cat>
          <c:val>
            <c:numRef>
              <c:f>平均线图!$C$3:$C$8</c:f>
              <c:numCache>
                <c:formatCode>General</c:formatCode>
                <c:ptCount val="6"/>
                <c:pt idx="0">
                  <c:v>110.56666666666666</c:v>
                </c:pt>
                <c:pt idx="1">
                  <c:v>110.56666666666666</c:v>
                </c:pt>
                <c:pt idx="2">
                  <c:v>110.56666666666666</c:v>
                </c:pt>
                <c:pt idx="3">
                  <c:v>110.56666666666666</c:v>
                </c:pt>
                <c:pt idx="4">
                  <c:v>110.56666666666666</c:v>
                </c:pt>
                <c:pt idx="5">
                  <c:v>110.56666666666666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30-4110-9454-8A503EB42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4526624"/>
        <c:axId val="1764528288"/>
      </c:lineChart>
      <c:catAx>
        <c:axId val="176452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年份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4528288"/>
        <c:crosses val="autoZero"/>
        <c:auto val="1"/>
        <c:lblAlgn val="ctr"/>
        <c:lblOffset val="100"/>
        <c:noMultiLvlLbl val="0"/>
      </c:catAx>
      <c:valAx>
        <c:axId val="176452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总投资额（亿元）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452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双坐标图!$B$2</c:f>
              <c:strCache>
                <c:ptCount val="1"/>
                <c:pt idx="0">
                  <c:v>用户规模（万）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双坐标图!$B$3:$B$8</c:f>
              <c:numCache>
                <c:formatCode>General</c:formatCode>
                <c:ptCount val="6"/>
                <c:pt idx="0">
                  <c:v>69470</c:v>
                </c:pt>
                <c:pt idx="1">
                  <c:v>68587</c:v>
                </c:pt>
                <c:pt idx="2">
                  <c:v>75877</c:v>
                </c:pt>
                <c:pt idx="3">
                  <c:v>60789</c:v>
                </c:pt>
                <c:pt idx="4">
                  <c:v>49356</c:v>
                </c:pt>
                <c:pt idx="5">
                  <c:v>64764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9-4FFB-99FD-040D132CD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69535743"/>
        <c:axId val="869538239"/>
      </c:barChart>
      <c:lineChart>
        <c:grouping val="standard"/>
        <c:varyColors val="0"/>
        <c:ser>
          <c:idx val="1"/>
          <c:order val="1"/>
          <c:tx>
            <c:strRef>
              <c:f>双坐标图!$C$2</c:f>
              <c:strCache>
                <c:ptCount val="1"/>
                <c:pt idx="0">
                  <c:v>网民使用率（百分比）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双坐标图!$C$3:$C$8</c:f>
              <c:numCache>
                <c:formatCode>General</c:formatCode>
                <c:ptCount val="6"/>
                <c:pt idx="0">
                  <c:v>81.3</c:v>
                </c:pt>
                <c:pt idx="1">
                  <c:v>80.3</c:v>
                </c:pt>
                <c:pt idx="2">
                  <c:v>88.8</c:v>
                </c:pt>
                <c:pt idx="3">
                  <c:v>71.099999999999994</c:v>
                </c:pt>
                <c:pt idx="4">
                  <c:v>57.8</c:v>
                </c:pt>
                <c:pt idx="5">
                  <c:v>75.8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39-4FFB-99FD-040D132CD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8304895"/>
        <c:axId val="1208298239"/>
      </c:lineChart>
      <c:catAx>
        <c:axId val="869535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9538239"/>
        <c:crosses val="autoZero"/>
        <c:auto val="1"/>
        <c:lblAlgn val="ctr"/>
        <c:lblOffset val="100"/>
        <c:noMultiLvlLbl val="0"/>
      </c:catAx>
      <c:valAx>
        <c:axId val="86953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用户规模（万）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9535743"/>
        <c:crosses val="autoZero"/>
        <c:crossBetween val="between"/>
      </c:valAx>
      <c:valAx>
        <c:axId val="120829823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baseline="0">
                    <a:effectLst/>
                  </a:rPr>
                  <a:t>网民使用率（百分比）</a:t>
                </a:r>
                <a:r>
                  <a:rPr lang="zh-CN" altLang="en-US" sz="1000" b="0" i="0" u="none" strike="noStrike" baseline="0"/>
                  <a:t> 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08304895"/>
        <c:crosses val="max"/>
        <c:crossBetween val="between"/>
      </c:valAx>
      <c:catAx>
        <c:axId val="1208304895"/>
        <c:scaling>
          <c:orientation val="minMax"/>
        </c:scaling>
        <c:delete val="1"/>
        <c:axPos val="b"/>
        <c:majorTickMark val="out"/>
        <c:minorTickMark val="none"/>
        <c:tickLblPos val="nextTo"/>
        <c:crossAx val="12082982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竖形折线图!$B$2</c:f>
              <c:strCache>
                <c:ptCount val="1"/>
                <c:pt idx="0">
                  <c:v>全国多地推行垃圾分类制度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竖形折线图!$B$3:$B$8</c:f>
              <c:numCache>
                <c:formatCode>General</c:formatCode>
                <c:ptCount val="6"/>
                <c:pt idx="0">
                  <c:v>1514407</c:v>
                </c:pt>
                <c:pt idx="1">
                  <c:v>131829</c:v>
                </c:pt>
                <c:pt idx="2">
                  <c:v>15988</c:v>
                </c:pt>
                <c:pt idx="3">
                  <c:v>137470</c:v>
                </c:pt>
                <c:pt idx="4">
                  <c:v>712460</c:v>
                </c:pt>
                <c:pt idx="5">
                  <c:v>5895</c:v>
                </c:pt>
              </c:numCache>
            </c:numRef>
          </c:xVal>
          <c:yVal>
            <c:numRef>
              <c:f>竖形折线图!$D$3:$D$8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63-4C96-8999-BDBAD66A0137}"/>
            </c:ext>
          </c:extLst>
        </c:ser>
        <c:ser>
          <c:idx val="1"/>
          <c:order val="1"/>
          <c:tx>
            <c:strRef>
              <c:f>竖形折线图!$C$2</c:f>
              <c:strCache>
                <c:ptCount val="1"/>
                <c:pt idx="0">
                  <c:v>中美经贸摩擦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竖形折线图!$C$3:$C$8</c:f>
              <c:numCache>
                <c:formatCode>General</c:formatCode>
                <c:ptCount val="6"/>
                <c:pt idx="0">
                  <c:v>733067</c:v>
                </c:pt>
                <c:pt idx="1">
                  <c:v>42497</c:v>
                </c:pt>
                <c:pt idx="2">
                  <c:v>6990</c:v>
                </c:pt>
                <c:pt idx="3">
                  <c:v>39212</c:v>
                </c:pt>
                <c:pt idx="4">
                  <c:v>94714</c:v>
                </c:pt>
                <c:pt idx="5">
                  <c:v>3180</c:v>
                </c:pt>
              </c:numCache>
            </c:numRef>
          </c:xVal>
          <c:yVal>
            <c:numRef>
              <c:f>竖形折线图!$D$3:$D$8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63-4C96-8999-BDBAD66A0137}"/>
            </c:ext>
          </c:extLst>
        </c:ser>
        <c:ser>
          <c:idx val="2"/>
          <c:order val="2"/>
          <c:tx>
            <c:strRef>
              <c:f>竖形折线图!$E$2</c:f>
              <c:strCache>
                <c:ptCount val="1"/>
                <c:pt idx="0">
                  <c:v>辅助列2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0E29759-5E06-4E59-94F8-DABC969340A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B63-4C96-8999-BDBAD66A013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1956D99-6440-4DC2-88AA-6C0FA165C71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B63-4C96-8999-BDBAD66A013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BCEF026-B84F-42E4-AE16-75FEEFABD3F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B63-4C96-8999-BDBAD66A013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33FC4AB-F3DE-4167-B744-380469E7A04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B63-4C96-8999-BDBAD66A013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DB73C9E-9ABA-414D-929C-B71624687B7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B63-4C96-8999-BDBAD66A013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95497C4-FB65-4B3A-9A16-CD14E688B2F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B63-4C96-8999-BDBAD66A01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竖形折线图!$E$3:$E$8</c:f>
              <c:numCache>
                <c:formatCode>General</c:formatCode>
                <c:ptCount val="6"/>
                <c:pt idx="0">
                  <c:v>1800000</c:v>
                </c:pt>
                <c:pt idx="1">
                  <c:v>1800000</c:v>
                </c:pt>
                <c:pt idx="2">
                  <c:v>1800000</c:v>
                </c:pt>
                <c:pt idx="3">
                  <c:v>1800000</c:v>
                </c:pt>
                <c:pt idx="4">
                  <c:v>1800000</c:v>
                </c:pt>
                <c:pt idx="5">
                  <c:v>1800000</c:v>
                </c:pt>
              </c:numCache>
            </c:numRef>
          </c:xVal>
          <c:yVal>
            <c:numRef>
              <c:f>竖形折线图!$D$3:$D$8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竖形折线图!$A$3:$A$8</c15:f>
                <c15:dlblRangeCache>
                  <c:ptCount val="6"/>
                  <c:pt idx="0">
                    <c:v>新闻</c:v>
                  </c:pt>
                  <c:pt idx="1">
                    <c:v>论坛</c:v>
                  </c:pt>
                  <c:pt idx="2">
                    <c:v>博客</c:v>
                  </c:pt>
                  <c:pt idx="3">
                    <c:v>报刊</c:v>
                  </c:pt>
                  <c:pt idx="4">
                    <c:v>微博</c:v>
                  </c:pt>
                  <c:pt idx="5">
                    <c:v>APP采集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2B63-4C96-8999-BDBAD66A0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821728"/>
        <c:axId val="1643822560"/>
      </c:scatterChart>
      <c:valAx>
        <c:axId val="1643821728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43822560"/>
        <c:crosses val="autoZero"/>
        <c:crossBetween val="midCat"/>
      </c:valAx>
      <c:valAx>
        <c:axId val="1643822560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43821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>
          <a:alpha val="99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>
                <a:latin typeface="楷体" panose="02010609060101010101" pitchFamily="49" charset="-122"/>
                <a:ea typeface="楷体" panose="02010609060101010101" pitchFamily="49" charset="-122"/>
              </a:rPr>
              <a:t>2019</a:t>
            </a:r>
            <a:r>
              <a:rPr lang="zh-CN" altLang="en-US">
                <a:latin typeface="楷体" panose="02010609060101010101" pitchFamily="49" charset="-122"/>
                <a:ea typeface="楷体" panose="02010609060101010101" pitchFamily="49" charset="-122"/>
              </a:rPr>
              <a:t>年互联网广告收入行业分布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帕累托图!$B$2</c:f>
              <c:strCache>
                <c:ptCount val="1"/>
                <c:pt idx="0">
                  <c:v>收入（亿元）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帕累托图!$A$3:$A$11</c:f>
              <c:strCache>
                <c:ptCount val="9"/>
                <c:pt idx="0">
                  <c:v>电商广告</c:v>
                </c:pt>
                <c:pt idx="1">
                  <c:v>搜索广告</c:v>
                </c:pt>
                <c:pt idx="2">
                  <c:v>视频广告</c:v>
                </c:pt>
                <c:pt idx="3">
                  <c:v>新闻资讯</c:v>
                </c:pt>
                <c:pt idx="4">
                  <c:v>社交广告</c:v>
                </c:pt>
                <c:pt idx="5">
                  <c:v>其他</c:v>
                </c:pt>
                <c:pt idx="6">
                  <c:v>分类广告</c:v>
                </c:pt>
                <c:pt idx="7">
                  <c:v>工具</c:v>
                </c:pt>
                <c:pt idx="8">
                  <c:v>垂直</c:v>
                </c:pt>
              </c:strCache>
            </c:strRef>
          </c:cat>
          <c:val>
            <c:numRef>
              <c:f>帕累托图!$B$3:$B$11</c:f>
              <c:numCache>
                <c:formatCode>General</c:formatCode>
                <c:ptCount val="9"/>
                <c:pt idx="0">
                  <c:v>1567.8</c:v>
                </c:pt>
                <c:pt idx="1">
                  <c:v>624.5</c:v>
                </c:pt>
                <c:pt idx="2">
                  <c:v>545.9</c:v>
                </c:pt>
                <c:pt idx="3">
                  <c:v>515.29999999999995</c:v>
                </c:pt>
                <c:pt idx="4">
                  <c:v>432.3</c:v>
                </c:pt>
                <c:pt idx="5">
                  <c:v>310.10000000000002</c:v>
                </c:pt>
                <c:pt idx="6">
                  <c:v>187.8</c:v>
                </c:pt>
                <c:pt idx="7">
                  <c:v>96.1</c:v>
                </c:pt>
                <c:pt idx="8">
                  <c:v>56.8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3-4BCE-9871-3BF330047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64532864"/>
        <c:axId val="1764543264"/>
      </c:barChart>
      <c:lineChart>
        <c:grouping val="standard"/>
        <c:varyColors val="0"/>
        <c:ser>
          <c:idx val="1"/>
          <c:order val="1"/>
          <c:tx>
            <c:strRef>
              <c:f>帕累托图!$D$2</c:f>
              <c:strCache>
                <c:ptCount val="1"/>
                <c:pt idx="0">
                  <c:v>累计百分比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帕累托图!$A$3:$A$11</c:f>
              <c:strCache>
                <c:ptCount val="9"/>
                <c:pt idx="0">
                  <c:v>电商广告</c:v>
                </c:pt>
                <c:pt idx="1">
                  <c:v>搜索广告</c:v>
                </c:pt>
                <c:pt idx="2">
                  <c:v>视频广告</c:v>
                </c:pt>
                <c:pt idx="3">
                  <c:v>新闻资讯</c:v>
                </c:pt>
                <c:pt idx="4">
                  <c:v>社交广告</c:v>
                </c:pt>
                <c:pt idx="5">
                  <c:v>其他</c:v>
                </c:pt>
                <c:pt idx="6">
                  <c:v>分类广告</c:v>
                </c:pt>
                <c:pt idx="7">
                  <c:v>工具</c:v>
                </c:pt>
                <c:pt idx="8">
                  <c:v>垂直</c:v>
                </c:pt>
              </c:strCache>
            </c:strRef>
          </c:cat>
          <c:val>
            <c:numRef>
              <c:f>帕累托图!$D$3:$D$11</c:f>
              <c:numCache>
                <c:formatCode>0.00%</c:formatCode>
                <c:ptCount val="9"/>
                <c:pt idx="0">
                  <c:v>0.36152746391182028</c:v>
                </c:pt>
                <c:pt idx="1">
                  <c:v>0.50553428953558077</c:v>
                </c:pt>
                <c:pt idx="2">
                  <c:v>0.63141631693031397</c:v>
                </c:pt>
                <c:pt idx="3">
                  <c:v>0.75024212516718158</c:v>
                </c:pt>
                <c:pt idx="4">
                  <c:v>0.84992851542683201</c:v>
                </c:pt>
                <c:pt idx="5">
                  <c:v>0.92143614813448316</c:v>
                </c:pt>
                <c:pt idx="6">
                  <c:v>0.96474196375040344</c:v>
                </c:pt>
                <c:pt idx="7">
                  <c:v>0.98690218143245856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E3-4BCE-9871-3BF330047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8488288"/>
        <c:axId val="1728494528"/>
      </c:lineChart>
      <c:catAx>
        <c:axId val="176453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4543264"/>
        <c:crosses val="autoZero"/>
        <c:auto val="1"/>
        <c:lblAlgn val="ctr"/>
        <c:lblOffset val="100"/>
        <c:noMultiLvlLbl val="0"/>
      </c:catAx>
      <c:valAx>
        <c:axId val="176454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收入（亿元）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4532864"/>
        <c:crosses val="autoZero"/>
        <c:crossBetween val="between"/>
      </c:valAx>
      <c:valAx>
        <c:axId val="17284945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累计百分比（</a:t>
                </a:r>
                <a:r>
                  <a:rPr lang="en-US" altLang="zh-CN"/>
                  <a:t>%</a:t>
                </a:r>
                <a:r>
                  <a:rPr lang="zh-CN" altLang="en-US"/>
                  <a:t>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8488288"/>
        <c:crosses val="max"/>
        <c:crossBetween val="between"/>
      </c:valAx>
      <c:catAx>
        <c:axId val="17284882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284945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>
                <a:latin typeface="楷体" panose="02010609060101010101" pitchFamily="49" charset="-122"/>
                <a:ea typeface="楷体" panose="02010609060101010101" pitchFamily="49" charset="-122"/>
              </a:rPr>
              <a:t>2020</a:t>
            </a:r>
            <a:r>
              <a:rPr lang="zh-CN" altLang="en-US">
                <a:latin typeface="楷体" panose="02010609060101010101" pitchFamily="49" charset="-122"/>
                <a:ea typeface="楷体" panose="02010609060101010101" pitchFamily="49" charset="-122"/>
              </a:rPr>
              <a:t>年中国资讯短视频用户观看渠道偏好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旋风图!$B$2</c:f>
              <c:strCache>
                <c:ptCount val="1"/>
                <c:pt idx="0">
                  <c:v>使用该渠道观看过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旋风图!$A$3:$A$12</c:f>
              <c:strCache>
                <c:ptCount val="10"/>
                <c:pt idx="0">
                  <c:v>其他短视频平台</c:v>
                </c:pt>
                <c:pt idx="1">
                  <c:v>咨询短视频平台</c:v>
                </c:pt>
                <c:pt idx="2">
                  <c:v>门户资讯平台</c:v>
                </c:pt>
                <c:pt idx="3">
                  <c:v>搜索类平台</c:v>
                </c:pt>
                <c:pt idx="4">
                  <c:v>社交平台</c:v>
                </c:pt>
                <c:pt idx="5">
                  <c:v>聚合咨询平台</c:v>
                </c:pt>
                <c:pt idx="6">
                  <c:v>传统媒体平台</c:v>
                </c:pt>
                <c:pt idx="7">
                  <c:v>网络视频平台</c:v>
                </c:pt>
                <c:pt idx="8">
                  <c:v>垂直资讯平台</c:v>
                </c:pt>
                <c:pt idx="9">
                  <c:v>其他平台</c:v>
                </c:pt>
              </c:strCache>
            </c:strRef>
          </c:cat>
          <c:val>
            <c:numRef>
              <c:f>旋风图!$B$3:$B$12</c:f>
              <c:numCache>
                <c:formatCode>General</c:formatCode>
                <c:ptCount val="10"/>
                <c:pt idx="0">
                  <c:v>-1377</c:v>
                </c:pt>
                <c:pt idx="1">
                  <c:v>-1253</c:v>
                </c:pt>
                <c:pt idx="2">
                  <c:v>-1246</c:v>
                </c:pt>
                <c:pt idx="3">
                  <c:v>-1216</c:v>
                </c:pt>
                <c:pt idx="4">
                  <c:v>-1197</c:v>
                </c:pt>
                <c:pt idx="5">
                  <c:v>-1146</c:v>
                </c:pt>
                <c:pt idx="6">
                  <c:v>-1098</c:v>
                </c:pt>
                <c:pt idx="7">
                  <c:v>-1091</c:v>
                </c:pt>
                <c:pt idx="8">
                  <c:v>-534</c:v>
                </c:pt>
                <c:pt idx="9">
                  <c:v>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1-415D-BC4A-7E9CE28D0EA3}"/>
            </c:ext>
          </c:extLst>
        </c:ser>
        <c:ser>
          <c:idx val="1"/>
          <c:order val="1"/>
          <c:tx>
            <c:strRef>
              <c:f>旋风图!$C$2</c:f>
              <c:strCache>
                <c:ptCount val="1"/>
                <c:pt idx="0">
                  <c:v>辅助列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旋风图!$A$3:$A$12</c:f>
              <c:strCache>
                <c:ptCount val="10"/>
                <c:pt idx="0">
                  <c:v>其他短视频平台</c:v>
                </c:pt>
                <c:pt idx="1">
                  <c:v>咨询短视频平台</c:v>
                </c:pt>
                <c:pt idx="2">
                  <c:v>门户资讯平台</c:v>
                </c:pt>
                <c:pt idx="3">
                  <c:v>搜索类平台</c:v>
                </c:pt>
                <c:pt idx="4">
                  <c:v>社交平台</c:v>
                </c:pt>
                <c:pt idx="5">
                  <c:v>聚合咨询平台</c:v>
                </c:pt>
                <c:pt idx="6">
                  <c:v>传统媒体平台</c:v>
                </c:pt>
                <c:pt idx="7">
                  <c:v>网络视频平台</c:v>
                </c:pt>
                <c:pt idx="8">
                  <c:v>垂直资讯平台</c:v>
                </c:pt>
                <c:pt idx="9">
                  <c:v>其他平台</c:v>
                </c:pt>
              </c:strCache>
            </c:strRef>
          </c:cat>
          <c:val>
            <c:numRef>
              <c:f>旋风图!$C$3:$C$12</c:f>
              <c:numCache>
                <c:formatCode>General</c:formatCode>
                <c:ptCount val="10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A1-415D-BC4A-7E9CE28D0EA3}"/>
            </c:ext>
          </c:extLst>
        </c:ser>
        <c:ser>
          <c:idx val="2"/>
          <c:order val="2"/>
          <c:tx>
            <c:strRef>
              <c:f>旋风图!$D$2</c:f>
              <c:strCache>
                <c:ptCount val="1"/>
                <c:pt idx="0">
                  <c:v>最常使用的渠道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旋风图!$A$3:$A$12</c:f>
              <c:strCache>
                <c:ptCount val="10"/>
                <c:pt idx="0">
                  <c:v>其他短视频平台</c:v>
                </c:pt>
                <c:pt idx="1">
                  <c:v>咨询短视频平台</c:v>
                </c:pt>
                <c:pt idx="2">
                  <c:v>门户资讯平台</c:v>
                </c:pt>
                <c:pt idx="3">
                  <c:v>搜索类平台</c:v>
                </c:pt>
                <c:pt idx="4">
                  <c:v>社交平台</c:v>
                </c:pt>
                <c:pt idx="5">
                  <c:v>聚合咨询平台</c:v>
                </c:pt>
                <c:pt idx="6">
                  <c:v>传统媒体平台</c:v>
                </c:pt>
                <c:pt idx="7">
                  <c:v>网络视频平台</c:v>
                </c:pt>
                <c:pt idx="8">
                  <c:v>垂直资讯平台</c:v>
                </c:pt>
                <c:pt idx="9">
                  <c:v>其他平台</c:v>
                </c:pt>
              </c:strCache>
            </c:strRef>
          </c:cat>
          <c:val>
            <c:numRef>
              <c:f>旋风图!$D$3:$D$12</c:f>
              <c:numCache>
                <c:formatCode>General</c:formatCode>
                <c:ptCount val="10"/>
                <c:pt idx="0">
                  <c:v>734</c:v>
                </c:pt>
                <c:pt idx="1">
                  <c:v>327</c:v>
                </c:pt>
                <c:pt idx="2">
                  <c:v>283</c:v>
                </c:pt>
                <c:pt idx="3">
                  <c:v>165</c:v>
                </c:pt>
                <c:pt idx="4">
                  <c:v>218</c:v>
                </c:pt>
                <c:pt idx="5">
                  <c:v>291</c:v>
                </c:pt>
                <c:pt idx="6">
                  <c:v>155</c:v>
                </c:pt>
                <c:pt idx="7">
                  <c:v>159</c:v>
                </c:pt>
                <c:pt idx="8">
                  <c:v>30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A1-415D-BC4A-7E9CE28D0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4293408"/>
        <c:axId val="1534294656"/>
      </c:barChart>
      <c:catAx>
        <c:axId val="1534293408"/>
        <c:scaling>
          <c:orientation val="maxMin"/>
        </c:scaling>
        <c:delete val="1"/>
        <c:axPos val="l"/>
        <c:numFmt formatCode="General" sourceLinked="1"/>
        <c:majorTickMark val="out"/>
        <c:minorTickMark val="none"/>
        <c:tickLblPos val="nextTo"/>
        <c:crossAx val="1534294656"/>
        <c:crosses val="autoZero"/>
        <c:auto val="1"/>
        <c:lblAlgn val="ctr"/>
        <c:lblOffset val="100"/>
        <c:noMultiLvlLbl val="0"/>
      </c:catAx>
      <c:valAx>
        <c:axId val="153429465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534293408"/>
        <c:crosses val="autoZero"/>
        <c:crossBetween val="between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2020</a:t>
            </a:r>
            <a:r>
              <a:rPr lang="zh-CN" altLang="en-US"/>
              <a:t>年资讯短视频用户观看渠道偏好金字塔图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金字塔图!$B$1:$B$2</c:f>
              <c:strCache>
                <c:ptCount val="2"/>
                <c:pt idx="0">
                  <c:v>2020年中国资讯短视频用户观看渠道偏好</c:v>
                </c:pt>
                <c:pt idx="1">
                  <c:v>使用该渠道观看过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金字塔图!$A$3:$A$12</c:f>
              <c:strCache>
                <c:ptCount val="10"/>
                <c:pt idx="0">
                  <c:v>其他短视频平台</c:v>
                </c:pt>
                <c:pt idx="1">
                  <c:v>咨询短视频平台</c:v>
                </c:pt>
                <c:pt idx="2">
                  <c:v>门户资讯平台</c:v>
                </c:pt>
                <c:pt idx="3">
                  <c:v>搜索类平台</c:v>
                </c:pt>
                <c:pt idx="4">
                  <c:v>社交平台</c:v>
                </c:pt>
                <c:pt idx="5">
                  <c:v>聚合咨询平台</c:v>
                </c:pt>
                <c:pt idx="6">
                  <c:v>传统媒体平台</c:v>
                </c:pt>
                <c:pt idx="7">
                  <c:v>网络视频平台</c:v>
                </c:pt>
                <c:pt idx="8">
                  <c:v>垂直资讯平台</c:v>
                </c:pt>
                <c:pt idx="9">
                  <c:v>其他平台</c:v>
                </c:pt>
              </c:strCache>
            </c:strRef>
          </c:cat>
          <c:val>
            <c:numRef>
              <c:f>金字塔图!$B$3:$B$12</c:f>
              <c:numCache>
                <c:formatCode>General</c:formatCode>
                <c:ptCount val="10"/>
                <c:pt idx="0">
                  <c:v>-1377</c:v>
                </c:pt>
                <c:pt idx="1">
                  <c:v>-1253</c:v>
                </c:pt>
                <c:pt idx="2">
                  <c:v>-1246</c:v>
                </c:pt>
                <c:pt idx="3">
                  <c:v>-1216</c:v>
                </c:pt>
                <c:pt idx="4">
                  <c:v>-1197</c:v>
                </c:pt>
                <c:pt idx="5">
                  <c:v>-1146</c:v>
                </c:pt>
                <c:pt idx="6">
                  <c:v>-1098</c:v>
                </c:pt>
                <c:pt idx="7">
                  <c:v>-1091</c:v>
                </c:pt>
                <c:pt idx="8">
                  <c:v>-534</c:v>
                </c:pt>
                <c:pt idx="9">
                  <c:v>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B-49DD-BC9C-2A00B4BAD801}"/>
            </c:ext>
          </c:extLst>
        </c:ser>
        <c:ser>
          <c:idx val="1"/>
          <c:order val="1"/>
          <c:tx>
            <c:strRef>
              <c:f>金字塔图!$C$1:$C$2</c:f>
              <c:strCache>
                <c:ptCount val="2"/>
                <c:pt idx="0">
                  <c:v>2020年中国资讯短视频用户观看渠道偏好</c:v>
                </c:pt>
                <c:pt idx="1">
                  <c:v>最常使用的渠道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金字塔图!$A$3:$A$12</c:f>
              <c:strCache>
                <c:ptCount val="10"/>
                <c:pt idx="0">
                  <c:v>其他短视频平台</c:v>
                </c:pt>
                <c:pt idx="1">
                  <c:v>咨询短视频平台</c:v>
                </c:pt>
                <c:pt idx="2">
                  <c:v>门户资讯平台</c:v>
                </c:pt>
                <c:pt idx="3">
                  <c:v>搜索类平台</c:v>
                </c:pt>
                <c:pt idx="4">
                  <c:v>社交平台</c:v>
                </c:pt>
                <c:pt idx="5">
                  <c:v>聚合咨询平台</c:v>
                </c:pt>
                <c:pt idx="6">
                  <c:v>传统媒体平台</c:v>
                </c:pt>
                <c:pt idx="7">
                  <c:v>网络视频平台</c:v>
                </c:pt>
                <c:pt idx="8">
                  <c:v>垂直资讯平台</c:v>
                </c:pt>
                <c:pt idx="9">
                  <c:v>其他平台</c:v>
                </c:pt>
              </c:strCache>
            </c:strRef>
          </c:cat>
          <c:val>
            <c:numRef>
              <c:f>金字塔图!$C$3:$C$12</c:f>
              <c:numCache>
                <c:formatCode>General</c:formatCode>
                <c:ptCount val="10"/>
                <c:pt idx="0">
                  <c:v>734</c:v>
                </c:pt>
                <c:pt idx="1">
                  <c:v>327</c:v>
                </c:pt>
                <c:pt idx="2">
                  <c:v>283</c:v>
                </c:pt>
                <c:pt idx="3">
                  <c:v>165</c:v>
                </c:pt>
                <c:pt idx="4">
                  <c:v>218</c:v>
                </c:pt>
                <c:pt idx="5">
                  <c:v>291</c:v>
                </c:pt>
                <c:pt idx="6">
                  <c:v>155</c:v>
                </c:pt>
                <c:pt idx="7">
                  <c:v>159</c:v>
                </c:pt>
                <c:pt idx="8">
                  <c:v>30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7B-49DD-BC9C-2A00B4BAD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1781807"/>
        <c:axId val="1631803855"/>
      </c:barChart>
      <c:catAx>
        <c:axId val="1631781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1803855"/>
        <c:crosses val="autoZero"/>
        <c:auto val="1"/>
        <c:lblAlgn val="ctr"/>
        <c:lblOffset val="100"/>
        <c:noMultiLvlLbl val="0"/>
      </c:catAx>
      <c:valAx>
        <c:axId val="1631803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观看次数（人）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31781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>
                <a:latin typeface="楷体" panose="02010609060101010101" pitchFamily="49" charset="-122"/>
                <a:ea typeface="楷体" panose="02010609060101010101" pitchFamily="49" charset="-122"/>
              </a:rPr>
              <a:t>2014-2019</a:t>
            </a:r>
            <a:r>
              <a:rPr lang="zh-CN" altLang="en-US">
                <a:latin typeface="楷体" panose="02010609060101010101" pitchFamily="49" charset="-122"/>
                <a:ea typeface="楷体" panose="02010609060101010101" pitchFamily="49" charset="-122"/>
              </a:rPr>
              <a:t>年直播行业融资情况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气泡图!$B$2</c:f>
              <c:strCache>
                <c:ptCount val="1"/>
                <c:pt idx="0">
                  <c:v>总投资额（亿元）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气泡图!$A$3:$A$8</c:f>
              <c:strCache>
                <c:ptCount val="6"/>
                <c:pt idx="0">
                  <c:v>2014年</c:v>
                </c:pt>
                <c:pt idx="1">
                  <c:v>2015年</c:v>
                </c:pt>
                <c:pt idx="2">
                  <c:v>2016年</c:v>
                </c:pt>
                <c:pt idx="3">
                  <c:v>2017年</c:v>
                </c:pt>
                <c:pt idx="4">
                  <c:v>2018年</c:v>
                </c:pt>
                <c:pt idx="5">
                  <c:v>2019年</c:v>
                </c:pt>
              </c:strCache>
            </c:strRef>
          </c:xVal>
          <c:yVal>
            <c:numRef>
              <c:f>气泡图!$C$3:$C$8</c:f>
              <c:numCache>
                <c:formatCode>General</c:formatCode>
                <c:ptCount val="6"/>
                <c:pt idx="0">
                  <c:v>63</c:v>
                </c:pt>
                <c:pt idx="1">
                  <c:v>127</c:v>
                </c:pt>
                <c:pt idx="2">
                  <c:v>201</c:v>
                </c:pt>
                <c:pt idx="3">
                  <c:v>140</c:v>
                </c:pt>
                <c:pt idx="4">
                  <c:v>56</c:v>
                </c:pt>
                <c:pt idx="5">
                  <c:v>13</c:v>
                </c:pt>
              </c:numCache>
            </c:numRef>
          </c:yVal>
          <c:bubbleSize>
            <c:numRef>
              <c:f>气泡图!$B$3:$B$8</c:f>
              <c:numCache>
                <c:formatCode>General</c:formatCode>
                <c:ptCount val="6"/>
                <c:pt idx="0">
                  <c:v>36.1</c:v>
                </c:pt>
                <c:pt idx="1">
                  <c:v>69.8</c:v>
                </c:pt>
                <c:pt idx="2">
                  <c:v>188.1</c:v>
                </c:pt>
                <c:pt idx="3">
                  <c:v>140.19999999999999</c:v>
                </c:pt>
                <c:pt idx="4">
                  <c:v>224.4</c:v>
                </c:pt>
                <c:pt idx="5">
                  <c:v>4.8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CFEC-44B0-8BE5-C15D8C33C8F8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764554080"/>
        <c:axId val="1764550336"/>
      </c:bubbleChart>
      <c:valAx>
        <c:axId val="176455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4550336"/>
        <c:crosses val="autoZero"/>
        <c:crossBetween val="midCat"/>
      </c:valAx>
      <c:valAx>
        <c:axId val="176455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总投资次数（次）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455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>
                <a:latin typeface="楷体" panose="02010609060101010101" pitchFamily="49" charset="-122"/>
                <a:ea typeface="楷体" panose="02010609060101010101" pitchFamily="49" charset="-122"/>
              </a:rPr>
              <a:t>2019</a:t>
            </a:r>
            <a:r>
              <a:rPr lang="zh-CN" altLang="en-US">
                <a:latin typeface="楷体" panose="02010609060101010101" pitchFamily="49" charset="-122"/>
                <a:ea typeface="楷体" panose="02010609060101010101" pitchFamily="49" charset="-122"/>
              </a:rPr>
              <a:t>年主要游戏上市公司收入情况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1"/>
          <c:tx>
            <c:strRef>
              <c:f>课后案例分析!$B$2</c:f>
              <c:strCache>
                <c:ptCount val="1"/>
                <c:pt idx="0">
                  <c:v>总收入（亿元）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课后案例分析!$A$3:$A$9</c:f>
              <c:strCache>
                <c:ptCount val="7"/>
                <c:pt idx="0">
                  <c:v>世纪华通</c:v>
                </c:pt>
                <c:pt idx="1">
                  <c:v>腾讯</c:v>
                </c:pt>
                <c:pt idx="2">
                  <c:v>昆仑万维</c:v>
                </c:pt>
                <c:pt idx="3">
                  <c:v>三七互娱</c:v>
                </c:pt>
                <c:pt idx="4">
                  <c:v>完美世界</c:v>
                </c:pt>
                <c:pt idx="5">
                  <c:v>游族网络</c:v>
                </c:pt>
                <c:pt idx="6">
                  <c:v>网易</c:v>
                </c:pt>
              </c:strCache>
            </c:strRef>
          </c:cat>
          <c:val>
            <c:numRef>
              <c:f>课后案例分析!$B$3:$B$9</c:f>
              <c:numCache>
                <c:formatCode>General</c:formatCode>
                <c:ptCount val="7"/>
                <c:pt idx="0">
                  <c:v>151.1</c:v>
                </c:pt>
                <c:pt idx="1">
                  <c:v>844.73</c:v>
                </c:pt>
                <c:pt idx="2">
                  <c:v>36.9</c:v>
                </c:pt>
                <c:pt idx="3">
                  <c:v>132.26</c:v>
                </c:pt>
                <c:pt idx="4">
                  <c:v>68.3</c:v>
                </c:pt>
                <c:pt idx="5">
                  <c:v>35.159999999999997</c:v>
                </c:pt>
                <c:pt idx="6">
                  <c:v>464.18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38-4A85-B5D9-CDFD456F6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4526624"/>
        <c:axId val="1764528288"/>
      </c:barChart>
      <c:lineChart>
        <c:grouping val="standard"/>
        <c:varyColors val="0"/>
        <c:ser>
          <c:idx val="2"/>
          <c:order val="0"/>
          <c:tx>
            <c:strRef>
              <c:f>课后案例分析!$C$2</c:f>
              <c:strCache>
                <c:ptCount val="1"/>
                <c:pt idx="0">
                  <c:v>平均收入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课后案例分析!$A$3:$A$9</c:f>
              <c:strCache>
                <c:ptCount val="7"/>
                <c:pt idx="0">
                  <c:v>世纪华通</c:v>
                </c:pt>
                <c:pt idx="1">
                  <c:v>腾讯</c:v>
                </c:pt>
                <c:pt idx="2">
                  <c:v>昆仑万维</c:v>
                </c:pt>
                <c:pt idx="3">
                  <c:v>三七互娱</c:v>
                </c:pt>
                <c:pt idx="4">
                  <c:v>完美世界</c:v>
                </c:pt>
                <c:pt idx="5">
                  <c:v>游族网络</c:v>
                </c:pt>
                <c:pt idx="6">
                  <c:v>网易</c:v>
                </c:pt>
              </c:strCache>
            </c:strRef>
          </c:cat>
          <c:val>
            <c:numRef>
              <c:f>课后案例分析!$C$3:$C$9</c:f>
              <c:numCache>
                <c:formatCode>General</c:formatCode>
                <c:ptCount val="7"/>
                <c:pt idx="0">
                  <c:v>247.51857142857145</c:v>
                </c:pt>
                <c:pt idx="1">
                  <c:v>247.51857142857145</c:v>
                </c:pt>
                <c:pt idx="2">
                  <c:v>247.51857142857145</c:v>
                </c:pt>
                <c:pt idx="3">
                  <c:v>247.51857142857145</c:v>
                </c:pt>
                <c:pt idx="4">
                  <c:v>247.51857142857145</c:v>
                </c:pt>
                <c:pt idx="5">
                  <c:v>247.51857142857145</c:v>
                </c:pt>
                <c:pt idx="6">
                  <c:v>247.51857142857145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38-4A85-B5D9-CDFD456F6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4526624"/>
        <c:axId val="1764528288"/>
      </c:lineChart>
      <c:catAx>
        <c:axId val="176452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年份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4528288"/>
        <c:crosses val="autoZero"/>
        <c:auto val="1"/>
        <c:lblAlgn val="ctr"/>
        <c:lblOffset val="100"/>
        <c:noMultiLvlLbl val="0"/>
      </c:catAx>
      <c:valAx>
        <c:axId val="176452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收入（亿元）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452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zh-CN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2019</a:t>
            </a:r>
            <a:r>
              <a:rPr lang="zh-CN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年主要游戏上市公司收入情况</a:t>
            </a:r>
          </a:p>
        </cx:rich>
      </cx:tx>
    </cx:title>
    <cx:plotArea>
      <cx:plotAreaRegion>
        <cx:series layoutId="waterfall" uniqueId="{CDDAB0C6-47B1-4D2C-A12D-0EDD6C02459C}" formatIdx="1">
          <cx:tx>
            <cx:txData>
              <cx:f>_xlchart.v1.1</cx:f>
              <cx:v>辅助列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title>
          <cx:tx>
            <cx:txData>
              <cx:v>总收入（亿元）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zh-CN" alt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  <a:ea typeface="等线" panose="02010600030101010101" pitchFamily="2" charset="-122"/>
                </a:rPr>
                <a:t>总收入（亿元）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某平台销售情况漏斗图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zh-CN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等线" panose="02010600030101010101" pitchFamily="2" charset="-122"/>
            </a:rPr>
            <a:t>某平台销售情况漏斗图</a:t>
          </a:r>
        </a:p>
      </cx:txPr>
    </cx:title>
    <cx:plotArea>
      <cx:plotAreaRegion>
        <cx:series layoutId="funnel" uniqueId="{79543623-1D34-47E1-BD99-B14F11339FD0}">
          <cx:tx>
            <cx:txData>
              <cx:f>_xlchart.v2.4</cx:f>
              <cx:v>用户规模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zh-CN" altLang="en-US">
                <a:latin typeface="楷体" panose="02010609060101010101" pitchFamily="49" charset="-122"/>
                <a:ea typeface="楷体" panose="02010609060101010101" pitchFamily="49" charset="-122"/>
              </a:rPr>
              <a:t>网民互联网使用情况</a:t>
            </a:r>
            <a:endParaRPr lang="zh-CN">
              <a:latin typeface="楷体" panose="02010609060101010101" pitchFamily="49" charset="-122"/>
              <a:ea typeface="楷体" panose="02010609060101010101" pitchFamily="49" charset="-122"/>
            </a:endParaRPr>
          </a:p>
        </cx:rich>
      </cx:tx>
    </cx:title>
    <cx:plotArea>
      <cx:plotAreaRegion>
        <cx:series layoutId="treemap" uniqueId="{30F357A4-E958-426F-BEBF-284F574CD491}">
          <cx:tx>
            <cx:txData>
              <cx:f>_xlchart.v1.7</cx:f>
              <cx:v>用户规模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bg1"/>
    </cs:fontRef>
    <cs:defRPr sz="900" kern="120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79375</xdr:rowOff>
    </xdr:from>
    <xdr:to>
      <xdr:col>10</xdr:col>
      <xdr:colOff>254000</xdr:colOff>
      <xdr:row>11</xdr:row>
      <xdr:rowOff>66675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546100</xdr:colOff>
      <xdr:row>0</xdr:row>
      <xdr:rowOff>152400</xdr:rowOff>
    </xdr:from>
    <xdr:to>
      <xdr:col>12</xdr:col>
      <xdr:colOff>279400</xdr:colOff>
      <xdr:row>12</xdr:row>
      <xdr:rowOff>234950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1</xdr:row>
      <xdr:rowOff>200025</xdr:rowOff>
    </xdr:from>
    <xdr:to>
      <xdr:col>11</xdr:col>
      <xdr:colOff>381000</xdr:colOff>
      <xdr:row>13</xdr:row>
      <xdr:rowOff>200025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215900</xdr:colOff>
      <xdr:row>0</xdr:row>
      <xdr:rowOff>142875</xdr:rowOff>
    </xdr:from>
    <xdr:to>
      <xdr:col>13</xdr:col>
      <xdr:colOff>44450</xdr:colOff>
      <xdr:row>12</xdr:row>
      <xdr:rowOff>60325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2</xdr:row>
      <xdr:rowOff>209550</xdr:rowOff>
    </xdr:from>
    <xdr:to>
      <xdr:col>10</xdr:col>
      <xdr:colOff>139700</xdr:colOff>
      <xdr:row>14</xdr:row>
      <xdr:rowOff>209550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911225</xdr:colOff>
      <xdr:row>0</xdr:row>
      <xdr:rowOff>130175</xdr:rowOff>
    </xdr:from>
    <xdr:to>
      <xdr:col>9</xdr:col>
      <xdr:colOff>257175</xdr:colOff>
      <xdr:row>9</xdr:row>
      <xdr:rowOff>34925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FB78CFE-E94F-4B1A-948E-06EE0CED0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1450975</xdr:colOff>
      <xdr:row>3</xdr:row>
      <xdr:rowOff>79375</xdr:rowOff>
    </xdr:from>
    <xdr:to>
      <xdr:col>6</xdr:col>
      <xdr:colOff>409575</xdr:colOff>
      <xdr:row>14</xdr:row>
      <xdr:rowOff>98425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CE1D66D4-C41E-4E75-AC2A-08DC4CFFC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225425</xdr:colOff>
      <xdr:row>1</xdr:row>
      <xdr:rowOff>238125</xdr:rowOff>
    </xdr:from>
    <xdr:to>
      <xdr:col>8</xdr:col>
      <xdr:colOff>622300</xdr:colOff>
      <xdr:row>12</xdr:row>
      <xdr:rowOff>187325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图表 6">
              <a:extLst>
                <a:ext uri="{FF2B5EF4-FFF2-40B4-BE49-F238E27FC236}">
                  <a16:creationId xmlns:a16="http://schemas.microsoft.com/office/drawing/2014/main" id="{C5F196F9-B8C5-443B-AE0A-BB267F9CD59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2875" y="568325"/>
              <a:ext cx="60928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</xdr:row>
      <xdr:rowOff>104775</xdr:rowOff>
    </xdr:from>
    <xdr:to>
      <xdr:col>11</xdr:col>
      <xdr:colOff>466725</xdr:colOff>
      <xdr:row>14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595312</xdr:colOff>
      <xdr:row>3</xdr:row>
      <xdr:rowOff>76200</xdr:rowOff>
    </xdr:from>
    <xdr:to>
      <xdr:col>5</xdr:col>
      <xdr:colOff>157162</xdr:colOff>
      <xdr:row>12</xdr:row>
      <xdr:rowOff>76200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0</xdr:row>
      <xdr:rowOff>155575</xdr:rowOff>
    </xdr:from>
    <xdr:to>
      <xdr:col>5</xdr:col>
      <xdr:colOff>504825</xdr:colOff>
      <xdr:row>15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5BDC047-D299-4CFF-8E1F-CBC8B1814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2</xdr:row>
      <xdr:rowOff>85725</xdr:rowOff>
    </xdr:from>
    <xdr:to>
      <xdr:col>8</xdr:col>
      <xdr:colOff>142875</xdr:colOff>
      <xdr:row>17</xdr:row>
      <xdr:rowOff>66675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8763DCE5-4225-4807-9582-D8F705824F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2075" y="5683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</xdr:colOff>
      <xdr:row>2</xdr:row>
      <xdr:rowOff>171450</xdr:rowOff>
    </xdr:from>
    <xdr:to>
      <xdr:col>8</xdr:col>
      <xdr:colOff>509587</xdr:colOff>
      <xdr:row>17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图表 2">
              <a:extLst>
                <a:ext uri="{FF2B5EF4-FFF2-40B4-BE49-F238E27FC236}">
                  <a16:creationId xmlns:a16="http://schemas.microsoft.com/office/drawing/2014/main" id="{00000000-0008-0000-0C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65337" y="654050"/>
              <a:ext cx="4114800" cy="2724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1</xdr:row>
      <xdr:rowOff>3175</xdr:rowOff>
    </xdr:from>
    <xdr:to>
      <xdr:col>6</xdr:col>
      <xdr:colOff>584200</xdr:colOff>
      <xdr:row>13</xdr:row>
      <xdr:rowOff>47625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908050</xdr:colOff>
      <xdr:row>1</xdr:row>
      <xdr:rowOff>171450</xdr:rowOff>
    </xdr:from>
    <xdr:to>
      <xdr:col>11</xdr:col>
      <xdr:colOff>340372</xdr:colOff>
      <xdr:row>25</xdr:row>
      <xdr:rowOff>160029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D4A04A6-2735-4271-9CDB-970D1D38C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0400" y="457200"/>
          <a:ext cx="5852172" cy="438912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501650</xdr:colOff>
      <xdr:row>2</xdr:row>
      <xdr:rowOff>127000</xdr:rowOff>
    </xdr:from>
    <xdr:to>
      <xdr:col>14</xdr:col>
      <xdr:colOff>257822</xdr:colOff>
      <xdr:row>26</xdr:row>
      <xdr:rowOff>33029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CD7D832-FEF9-4854-A1D3-33B647C96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7850" y="609600"/>
          <a:ext cx="5852172" cy="438912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254000</xdr:colOff>
      <xdr:row>4</xdr:row>
      <xdr:rowOff>101600</xdr:rowOff>
    </xdr:from>
    <xdr:to>
      <xdr:col>9</xdr:col>
      <xdr:colOff>146050</xdr:colOff>
      <xdr:row>17</xdr:row>
      <xdr:rowOff>25400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296C8F4-A581-4717-8267-0DEB58107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N18" sqref="N18"/>
    </sheetView>
  </sheetViews>
  <sheetFormatPr defaultColWidth="9" defaultRowHeight="15.5" x14ac:dyDescent="0.25"/>
  <cols>
    <col min="1" max="1" width="11" style="1" customWidth="1"/>
    <col min="2" max="2" width="11.6328125" style="1" customWidth="1"/>
    <col min="3" max="3" width="11.90625" style="1" customWidth="1"/>
    <col min="4" max="4" width="11.6328125" style="1" customWidth="1"/>
    <col min="5" max="16384" width="9" style="1"/>
  </cols>
  <sheetData>
    <row r="1" spans="1:4" ht="27.75" customHeight="1" x14ac:dyDescent="0.25">
      <c r="A1" s="14" t="s">
        <v>22</v>
      </c>
      <c r="B1" s="14"/>
      <c r="C1" s="14"/>
      <c r="D1" s="14"/>
    </row>
    <row r="2" spans="1:4" ht="21" customHeight="1" x14ac:dyDescent="0.25">
      <c r="A2" s="2"/>
      <c r="B2" s="2" t="s">
        <v>17</v>
      </c>
      <c r="C2" s="2" t="s">
        <v>18</v>
      </c>
      <c r="D2" s="2" t="s">
        <v>19</v>
      </c>
    </row>
    <row r="3" spans="1:4" ht="21" customHeight="1" x14ac:dyDescent="0.25">
      <c r="A3" s="2" t="s">
        <v>13</v>
      </c>
      <c r="B3" s="2">
        <v>301.19</v>
      </c>
      <c r="C3" s="2">
        <v>419.54</v>
      </c>
      <c r="D3" s="2">
        <v>413</v>
      </c>
    </row>
    <row r="4" spans="1:4" ht="21" customHeight="1" x14ac:dyDescent="0.25">
      <c r="A4" s="2" t="s">
        <v>14</v>
      </c>
      <c r="B4" s="2">
        <v>81.44</v>
      </c>
      <c r="C4" s="2">
        <v>110.77</v>
      </c>
      <c r="D4" s="2">
        <v>99.86</v>
      </c>
    </row>
    <row r="5" spans="1:4" ht="21" customHeight="1" x14ac:dyDescent="0.25">
      <c r="A5" s="2" t="s">
        <v>15</v>
      </c>
      <c r="B5" s="2">
        <v>133.77000000000001</v>
      </c>
      <c r="C5" s="2">
        <v>164.09</v>
      </c>
      <c r="D5" s="2">
        <v>183.66</v>
      </c>
    </row>
    <row r="6" spans="1:4" ht="21" customHeight="1" x14ac:dyDescent="0.25">
      <c r="A6" s="2" t="s">
        <v>16</v>
      </c>
      <c r="B6" s="2">
        <v>176.77</v>
      </c>
      <c r="C6" s="2">
        <v>192.37</v>
      </c>
      <c r="D6" s="2">
        <v>204.34</v>
      </c>
    </row>
  </sheetData>
  <mergeCells count="1">
    <mergeCell ref="A1:D1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N18" sqref="N18"/>
    </sheetView>
  </sheetViews>
  <sheetFormatPr defaultColWidth="9" defaultRowHeight="23.25" customHeight="1" x14ac:dyDescent="0.25"/>
  <cols>
    <col min="1" max="1" width="13.36328125" style="4" customWidth="1"/>
    <col min="2" max="2" width="12.36328125" style="4" customWidth="1"/>
    <col min="3" max="3" width="16.26953125" style="4" customWidth="1"/>
    <col min="4" max="16384" width="9" style="4"/>
  </cols>
  <sheetData>
    <row r="1" spans="1:4" ht="23.25" customHeight="1" x14ac:dyDescent="0.25">
      <c r="A1" s="14" t="s">
        <v>64</v>
      </c>
      <c r="B1" s="14"/>
      <c r="C1" s="14"/>
    </row>
    <row r="2" spans="1:4" ht="23.25" customHeight="1" x14ac:dyDescent="0.25">
      <c r="A2" s="7" t="s">
        <v>11</v>
      </c>
      <c r="B2" s="7" t="s">
        <v>23</v>
      </c>
      <c r="C2" s="7" t="s">
        <v>1</v>
      </c>
    </row>
    <row r="3" spans="1:4" ht="23.25" customHeight="1" x14ac:dyDescent="0.25">
      <c r="A3" s="2" t="s">
        <v>3</v>
      </c>
      <c r="B3" s="2">
        <v>1567.8</v>
      </c>
      <c r="C3" s="5">
        <f>B3/SUM($B$3:$B$11)</f>
        <v>0.36152746391182028</v>
      </c>
    </row>
    <row r="4" spans="1:4" ht="23.25" customHeight="1" x14ac:dyDescent="0.25">
      <c r="A4" s="2" t="s">
        <v>4</v>
      </c>
      <c r="B4" s="2">
        <v>624.5</v>
      </c>
      <c r="C4" s="5">
        <f t="shared" ref="C4:C11" si="0">B4/SUM($B$3:$B$11)</f>
        <v>0.14400682562376055</v>
      </c>
    </row>
    <row r="5" spans="1:4" ht="23.25" customHeight="1" x14ac:dyDescent="0.25">
      <c r="A5" s="2" t="s">
        <v>5</v>
      </c>
      <c r="B5" s="2">
        <v>545.9</v>
      </c>
      <c r="C5" s="5">
        <f t="shared" si="0"/>
        <v>0.1258820273947332</v>
      </c>
    </row>
    <row r="6" spans="1:4" ht="23.25" customHeight="1" x14ac:dyDescent="0.25">
      <c r="A6" s="2" t="s">
        <v>12</v>
      </c>
      <c r="B6" s="2">
        <v>515.29999999999995</v>
      </c>
      <c r="C6" s="5">
        <f t="shared" si="0"/>
        <v>0.11882580823686757</v>
      </c>
    </row>
    <row r="7" spans="1:4" ht="23.25" customHeight="1" x14ac:dyDescent="0.25">
      <c r="A7" s="2" t="s">
        <v>6</v>
      </c>
      <c r="B7" s="2">
        <v>432.3</v>
      </c>
      <c r="C7" s="5">
        <f t="shared" si="0"/>
        <v>9.9686390259650412E-2</v>
      </c>
    </row>
    <row r="8" spans="1:4" ht="23.25" customHeight="1" x14ac:dyDescent="0.25">
      <c r="A8" s="2" t="s">
        <v>7</v>
      </c>
      <c r="B8" s="2">
        <v>187.8</v>
      </c>
      <c r="C8" s="5">
        <f t="shared" si="0"/>
        <v>4.3305815615920305E-2</v>
      </c>
    </row>
    <row r="9" spans="1:4" ht="23.25" customHeight="1" x14ac:dyDescent="0.25">
      <c r="A9" s="2" t="s">
        <v>8</v>
      </c>
      <c r="B9" s="2">
        <v>96.1</v>
      </c>
      <c r="C9" s="5">
        <f t="shared" si="0"/>
        <v>2.2160217682055065E-2</v>
      </c>
    </row>
    <row r="10" spans="1:4" ht="23.25" customHeight="1" x14ac:dyDescent="0.25">
      <c r="A10" s="2" t="s">
        <v>9</v>
      </c>
      <c r="B10" s="2">
        <v>56.8</v>
      </c>
      <c r="C10" s="5">
        <f t="shared" si="0"/>
        <v>1.309781856754139E-2</v>
      </c>
    </row>
    <row r="11" spans="1:4" ht="23.25" customHeight="1" x14ac:dyDescent="0.25">
      <c r="A11" s="2" t="s">
        <v>10</v>
      </c>
      <c r="B11" s="2">
        <v>310.10000000000002</v>
      </c>
      <c r="C11" s="5">
        <f t="shared" si="0"/>
        <v>7.1507632707651161E-2</v>
      </c>
    </row>
    <row r="13" spans="1:4" ht="23.25" customHeight="1" x14ac:dyDescent="0.25">
      <c r="D13" s="8"/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L18" sqref="L18"/>
    </sheetView>
  </sheetViews>
  <sheetFormatPr defaultColWidth="9" defaultRowHeight="15.5" x14ac:dyDescent="0.25"/>
  <cols>
    <col min="1" max="1" width="10.08984375" style="1" customWidth="1"/>
    <col min="2" max="2" width="15.08984375" style="1" customWidth="1"/>
    <col min="3" max="3" width="13.36328125" style="1" customWidth="1"/>
    <col min="4" max="16384" width="9" style="1"/>
  </cols>
  <sheetData>
    <row r="1" spans="1:3" ht="28.5" customHeight="1" x14ac:dyDescent="0.25">
      <c r="A1" s="15" t="s">
        <v>25</v>
      </c>
      <c r="B1" s="15"/>
      <c r="C1" s="15"/>
    </row>
    <row r="2" spans="1:3" ht="21" customHeight="1" x14ac:dyDescent="0.25">
      <c r="A2" s="2" t="s">
        <v>2</v>
      </c>
      <c r="B2" s="2" t="s">
        <v>24</v>
      </c>
      <c r="C2" s="2" t="s">
        <v>26</v>
      </c>
    </row>
    <row r="3" spans="1:3" ht="21" customHeight="1" x14ac:dyDescent="0.25">
      <c r="A3" s="9">
        <v>42522</v>
      </c>
      <c r="B3" s="2">
        <v>3.25</v>
      </c>
      <c r="C3" s="10">
        <v>1.17</v>
      </c>
    </row>
    <row r="4" spans="1:3" ht="21" customHeight="1" x14ac:dyDescent="0.25">
      <c r="A4" s="9">
        <v>42705</v>
      </c>
      <c r="B4" s="2">
        <v>3.44</v>
      </c>
      <c r="C4" s="10">
        <v>1.46</v>
      </c>
    </row>
    <row r="5" spans="1:3" ht="21" customHeight="1" x14ac:dyDescent="0.25">
      <c r="A5" s="9">
        <v>42887</v>
      </c>
      <c r="B5" s="2">
        <v>3.43</v>
      </c>
      <c r="C5" s="10">
        <v>1.8</v>
      </c>
    </row>
    <row r="6" spans="1:3" x14ac:dyDescent="0.25">
      <c r="A6" s="9">
        <v>43070</v>
      </c>
      <c r="B6" s="2">
        <v>4.22</v>
      </c>
      <c r="C6" s="10">
        <v>2.2400000000000002</v>
      </c>
    </row>
    <row r="7" spans="1:3" x14ac:dyDescent="0.25">
      <c r="A7" s="9">
        <v>43252</v>
      </c>
      <c r="B7" s="2">
        <v>4.25</v>
      </c>
      <c r="C7" s="10">
        <v>2.15</v>
      </c>
    </row>
    <row r="8" spans="1:3" x14ac:dyDescent="0.25">
      <c r="A8" s="9">
        <v>43435</v>
      </c>
      <c r="B8" s="2">
        <v>3.97</v>
      </c>
      <c r="C8" s="10">
        <v>2.2999999999999998</v>
      </c>
    </row>
    <row r="9" spans="1:3" x14ac:dyDescent="0.25">
      <c r="A9" s="9">
        <v>43617</v>
      </c>
      <c r="B9" s="2">
        <v>4.33</v>
      </c>
      <c r="C9" s="10">
        <v>2.4300000000000002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workbookViewId="0">
      <selection sqref="A1:K3"/>
    </sheetView>
  </sheetViews>
  <sheetFormatPr defaultColWidth="9" defaultRowHeight="15.5" x14ac:dyDescent="0.25"/>
  <cols>
    <col min="1" max="1" width="10.90625" style="1" customWidth="1"/>
    <col min="2" max="6" width="7.453125" style="1" customWidth="1"/>
    <col min="7" max="16384" width="9" style="1"/>
  </cols>
  <sheetData>
    <row r="1" spans="1:11" ht="20.149999999999999" customHeight="1" x14ac:dyDescent="0.25">
      <c r="A1" s="14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0.149999999999999" customHeight="1" x14ac:dyDescent="0.25">
      <c r="A2" s="2" t="s">
        <v>0</v>
      </c>
      <c r="B2" s="2">
        <v>2010</v>
      </c>
      <c r="C2" s="2">
        <v>2011</v>
      </c>
      <c r="D2" s="2">
        <v>2012</v>
      </c>
      <c r="E2" s="2">
        <v>2013</v>
      </c>
      <c r="F2" s="2">
        <v>2014</v>
      </c>
      <c r="G2" s="2">
        <v>2015</v>
      </c>
      <c r="H2" s="2">
        <v>2016</v>
      </c>
      <c r="I2" s="2">
        <v>2017</v>
      </c>
      <c r="J2" s="2">
        <v>2018</v>
      </c>
      <c r="K2" s="2">
        <v>2019</v>
      </c>
    </row>
    <row r="3" spans="1:11" ht="30" customHeight="1" x14ac:dyDescent="0.25">
      <c r="A3" s="3" t="s">
        <v>21</v>
      </c>
      <c r="B3" s="2">
        <v>70.2</v>
      </c>
      <c r="C3" s="2">
        <v>60.4</v>
      </c>
      <c r="D3" s="2">
        <v>47.6</v>
      </c>
      <c r="E3" s="2">
        <v>45.85</v>
      </c>
      <c r="F3" s="2">
        <v>51.7</v>
      </c>
      <c r="G3" s="2">
        <v>35.299999999999997</v>
      </c>
      <c r="H3" s="2">
        <v>29.87</v>
      </c>
      <c r="I3" s="2">
        <v>29.06</v>
      </c>
      <c r="J3" s="2">
        <v>24.21</v>
      </c>
      <c r="K3" s="2">
        <v>18.22</v>
      </c>
    </row>
  </sheetData>
  <mergeCells count="1">
    <mergeCell ref="A1:K1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"/>
  <sheetViews>
    <sheetView workbookViewId="0">
      <selection activeCell="C6" sqref="C6"/>
    </sheetView>
  </sheetViews>
  <sheetFormatPr defaultColWidth="9" defaultRowHeight="18" customHeight="1" x14ac:dyDescent="0.25"/>
  <cols>
    <col min="1" max="1" width="13.7265625" style="4" customWidth="1"/>
    <col min="2" max="2" width="24.08984375" style="4" customWidth="1"/>
    <col min="3" max="3" width="17.36328125" style="4" customWidth="1"/>
    <col min="4" max="16384" width="9" style="4"/>
  </cols>
  <sheetData>
    <row r="1" spans="1:3" ht="23.25" customHeight="1" x14ac:dyDescent="0.25">
      <c r="A1" s="15" t="s">
        <v>35</v>
      </c>
      <c r="B1" s="15"/>
      <c r="C1" s="15"/>
    </row>
    <row r="2" spans="1:3" ht="18" customHeight="1" x14ac:dyDescent="0.25">
      <c r="A2" s="2" t="s">
        <v>0</v>
      </c>
      <c r="B2" s="2" t="s">
        <v>33</v>
      </c>
      <c r="C2" s="2" t="s">
        <v>34</v>
      </c>
    </row>
    <row r="3" spans="1:3" ht="18" customHeight="1" x14ac:dyDescent="0.25">
      <c r="A3" s="2" t="s">
        <v>27</v>
      </c>
      <c r="B3" s="2">
        <v>36.1</v>
      </c>
      <c r="C3" s="2">
        <f>AVERAGE($B$2:$B$8)</f>
        <v>110.56666666666666</v>
      </c>
    </row>
    <row r="4" spans="1:3" ht="18" customHeight="1" x14ac:dyDescent="0.25">
      <c r="A4" s="2" t="s">
        <v>28</v>
      </c>
      <c r="B4" s="2">
        <v>69.8</v>
      </c>
      <c r="C4" s="2">
        <f t="shared" ref="C4:C8" si="0">AVERAGE($B$2:$B$8)</f>
        <v>110.56666666666666</v>
      </c>
    </row>
    <row r="5" spans="1:3" ht="18" customHeight="1" x14ac:dyDescent="0.25">
      <c r="A5" s="2" t="s">
        <v>29</v>
      </c>
      <c r="B5" s="2">
        <v>188.1</v>
      </c>
      <c r="C5" s="2">
        <f t="shared" si="0"/>
        <v>110.56666666666666</v>
      </c>
    </row>
    <row r="6" spans="1:3" ht="18" customHeight="1" x14ac:dyDescent="0.25">
      <c r="A6" s="2" t="s">
        <v>30</v>
      </c>
      <c r="B6" s="2">
        <v>140.19999999999999</v>
      </c>
      <c r="C6" s="2">
        <f t="shared" si="0"/>
        <v>110.56666666666666</v>
      </c>
    </row>
    <row r="7" spans="1:3" ht="18" customHeight="1" x14ac:dyDescent="0.25">
      <c r="A7" s="2" t="s">
        <v>31</v>
      </c>
      <c r="B7" s="2">
        <v>224.4</v>
      </c>
      <c r="C7" s="2">
        <f t="shared" si="0"/>
        <v>110.56666666666666</v>
      </c>
    </row>
    <row r="8" spans="1:3" ht="18" customHeight="1" x14ac:dyDescent="0.25">
      <c r="A8" s="2" t="s">
        <v>32</v>
      </c>
      <c r="B8" s="2">
        <v>4.8</v>
      </c>
      <c r="C8" s="2">
        <f t="shared" si="0"/>
        <v>110.56666666666666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J15" sqref="J15"/>
    </sheetView>
  </sheetViews>
  <sheetFormatPr defaultColWidth="9" defaultRowHeight="15.5" x14ac:dyDescent="0.25"/>
  <cols>
    <col min="1" max="1" width="9" style="1"/>
    <col min="2" max="2" width="15.6328125" style="1" customWidth="1"/>
    <col min="3" max="3" width="20.81640625" style="1" customWidth="1"/>
    <col min="4" max="16384" width="9" style="1"/>
  </cols>
  <sheetData>
    <row r="1" spans="1:5" ht="26.25" customHeight="1" x14ac:dyDescent="0.25">
      <c r="A1" s="14" t="s">
        <v>44</v>
      </c>
      <c r="B1" s="14"/>
      <c r="C1" s="14"/>
      <c r="D1" s="11"/>
      <c r="E1" s="11"/>
    </row>
    <row r="2" spans="1:5" ht="26.25" customHeight="1" x14ac:dyDescent="0.25">
      <c r="A2" s="2" t="s">
        <v>36</v>
      </c>
      <c r="B2" s="2" t="s">
        <v>92</v>
      </c>
      <c r="C2" s="2" t="s">
        <v>93</v>
      </c>
    </row>
    <row r="3" spans="1:5" ht="26.25" customHeight="1" x14ac:dyDescent="0.25">
      <c r="A3" s="2" t="s">
        <v>37</v>
      </c>
      <c r="B3" s="2">
        <v>69470</v>
      </c>
      <c r="C3" s="2">
        <v>81.3</v>
      </c>
    </row>
    <row r="4" spans="1:5" ht="26.25" customHeight="1" x14ac:dyDescent="0.25">
      <c r="A4" s="2" t="s">
        <v>38</v>
      </c>
      <c r="B4" s="2">
        <v>68587</v>
      </c>
      <c r="C4" s="2">
        <v>80.3</v>
      </c>
    </row>
    <row r="5" spans="1:5" ht="26.25" customHeight="1" x14ac:dyDescent="0.25">
      <c r="A5" s="2" t="s">
        <v>39</v>
      </c>
      <c r="B5" s="2">
        <v>75877</v>
      </c>
      <c r="C5" s="2">
        <v>88.8</v>
      </c>
    </row>
    <row r="6" spans="1:5" ht="26.25" customHeight="1" x14ac:dyDescent="0.25">
      <c r="A6" s="2" t="s">
        <v>40</v>
      </c>
      <c r="B6" s="2">
        <v>60789</v>
      </c>
      <c r="C6" s="2">
        <v>71.099999999999994</v>
      </c>
    </row>
    <row r="7" spans="1:5" ht="26.25" customHeight="1" x14ac:dyDescent="0.25">
      <c r="A7" s="2" t="s">
        <v>41</v>
      </c>
      <c r="B7" s="2">
        <v>49356</v>
      </c>
      <c r="C7" s="2">
        <v>57.8</v>
      </c>
    </row>
    <row r="8" spans="1:5" ht="26.25" customHeight="1" x14ac:dyDescent="0.25">
      <c r="A8" s="2" t="s">
        <v>42</v>
      </c>
      <c r="B8" s="2">
        <v>64764</v>
      </c>
      <c r="C8" s="2">
        <v>75.8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>
      <selection activeCell="A2" sqref="A2:B8"/>
    </sheetView>
  </sheetViews>
  <sheetFormatPr defaultColWidth="9" defaultRowHeight="19.5" customHeight="1" x14ac:dyDescent="0.25"/>
  <cols>
    <col min="1" max="1" width="20.7265625" style="4" customWidth="1"/>
    <col min="2" max="2" width="27" style="4" customWidth="1"/>
    <col min="3" max="3" width="26.36328125" style="4" customWidth="1"/>
    <col min="4" max="16384" width="9" style="4"/>
  </cols>
  <sheetData>
    <row r="1" spans="1:5" ht="24.75" customHeight="1" x14ac:dyDescent="0.25">
      <c r="A1" s="16" t="s">
        <v>45</v>
      </c>
      <c r="B1" s="16"/>
      <c r="C1" s="16"/>
    </row>
    <row r="2" spans="1:5" ht="19.5" customHeight="1" x14ac:dyDescent="0.25">
      <c r="A2" s="6" t="s">
        <v>54</v>
      </c>
      <c r="B2" s="6" t="s">
        <v>46</v>
      </c>
      <c r="C2" s="6" t="s">
        <v>52</v>
      </c>
      <c r="D2" s="4" t="s">
        <v>53</v>
      </c>
      <c r="E2" s="4" t="s">
        <v>55</v>
      </c>
    </row>
    <row r="3" spans="1:5" ht="19.5" customHeight="1" x14ac:dyDescent="0.25">
      <c r="A3" s="2" t="s">
        <v>94</v>
      </c>
      <c r="B3" s="13">
        <v>1514407</v>
      </c>
      <c r="C3" s="13">
        <v>733067</v>
      </c>
      <c r="D3" s="4">
        <v>1</v>
      </c>
      <c r="E3" s="4">
        <v>1800000</v>
      </c>
    </row>
    <row r="4" spans="1:5" ht="19.5" customHeight="1" x14ac:dyDescent="0.25">
      <c r="A4" s="2" t="s">
        <v>47</v>
      </c>
      <c r="B4" s="13">
        <v>131829</v>
      </c>
      <c r="C4" s="13">
        <v>42497</v>
      </c>
      <c r="D4" s="4">
        <v>2</v>
      </c>
      <c r="E4" s="4">
        <v>1800000</v>
      </c>
    </row>
    <row r="5" spans="1:5" ht="19.5" customHeight="1" x14ac:dyDescent="0.25">
      <c r="A5" s="2" t="s">
        <v>48</v>
      </c>
      <c r="B5" s="13">
        <v>15988</v>
      </c>
      <c r="C5" s="13">
        <v>6990</v>
      </c>
      <c r="D5" s="4">
        <v>3</v>
      </c>
      <c r="E5" s="4">
        <v>1800000</v>
      </c>
    </row>
    <row r="6" spans="1:5" ht="19.5" customHeight="1" x14ac:dyDescent="0.25">
      <c r="A6" s="2" t="s">
        <v>49</v>
      </c>
      <c r="B6" s="13">
        <v>137470</v>
      </c>
      <c r="C6" s="13">
        <v>39212</v>
      </c>
      <c r="D6" s="4">
        <v>4</v>
      </c>
      <c r="E6" s="4">
        <v>1800000</v>
      </c>
    </row>
    <row r="7" spans="1:5" ht="19.5" customHeight="1" x14ac:dyDescent="0.25">
      <c r="A7" s="2" t="s">
        <v>51</v>
      </c>
      <c r="B7" s="13">
        <v>712460</v>
      </c>
      <c r="C7" s="13">
        <v>94714</v>
      </c>
      <c r="D7" s="4">
        <v>5</v>
      </c>
      <c r="E7" s="4">
        <v>1800000</v>
      </c>
    </row>
    <row r="8" spans="1:5" ht="19.5" customHeight="1" x14ac:dyDescent="0.25">
      <c r="A8" s="2" t="s">
        <v>50</v>
      </c>
      <c r="B8" s="13">
        <v>5895</v>
      </c>
      <c r="C8" s="13">
        <v>3180</v>
      </c>
      <c r="D8" s="4">
        <v>6</v>
      </c>
      <c r="E8" s="4">
        <v>1800000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>
      <selection sqref="A1:B13"/>
    </sheetView>
  </sheetViews>
  <sheetFormatPr defaultColWidth="9" defaultRowHeight="15.5" x14ac:dyDescent="0.25"/>
  <cols>
    <col min="1" max="1" width="17" style="4" customWidth="1"/>
    <col min="2" max="2" width="32.7265625" style="4" customWidth="1"/>
    <col min="3" max="5" width="7.26953125" style="4" customWidth="1"/>
    <col min="6" max="16384" width="9" style="4"/>
  </cols>
  <sheetData>
    <row r="1" spans="1:5" ht="26.25" customHeight="1" x14ac:dyDescent="0.25">
      <c r="A1" s="14" t="s">
        <v>63</v>
      </c>
      <c r="B1" s="14"/>
      <c r="C1" s="11"/>
      <c r="D1" s="11"/>
      <c r="E1" s="11"/>
    </row>
    <row r="2" spans="1:5" ht="20.25" customHeight="1" x14ac:dyDescent="0.25">
      <c r="A2" s="6" t="s">
        <v>56</v>
      </c>
      <c r="B2" s="6" t="s">
        <v>99</v>
      </c>
      <c r="C2" s="4" t="s">
        <v>82</v>
      </c>
    </row>
    <row r="3" spans="1:5" ht="20.25" customHeight="1" x14ac:dyDescent="0.25">
      <c r="A3" s="2" t="s">
        <v>98</v>
      </c>
      <c r="B3" s="13">
        <v>16.13</v>
      </c>
      <c r="C3" s="4">
        <v>16.13</v>
      </c>
    </row>
    <row r="4" spans="1:5" ht="20.25" customHeight="1" x14ac:dyDescent="0.25">
      <c r="A4" s="2" t="s">
        <v>97</v>
      </c>
      <c r="B4" s="13">
        <v>24.6</v>
      </c>
      <c r="C4" s="4">
        <f>B4-B3</f>
        <v>8.4700000000000024</v>
      </c>
    </row>
    <row r="5" spans="1:5" ht="20.25" customHeight="1" x14ac:dyDescent="0.25">
      <c r="A5" s="2" t="s">
        <v>96</v>
      </c>
      <c r="B5" s="13">
        <v>25.7</v>
      </c>
      <c r="C5" s="4">
        <f t="shared" ref="C5:C13" si="0">B5-B4</f>
        <v>1.0999999999999979</v>
      </c>
    </row>
    <row r="6" spans="1:5" ht="20.25" customHeight="1" x14ac:dyDescent="0.25">
      <c r="A6" s="2" t="s">
        <v>95</v>
      </c>
      <c r="B6" s="13">
        <v>27.2</v>
      </c>
      <c r="C6" s="4">
        <f t="shared" si="0"/>
        <v>1.5</v>
      </c>
    </row>
    <row r="7" spans="1:5" ht="20.25" customHeight="1" x14ac:dyDescent="0.25">
      <c r="A7" s="2" t="s">
        <v>62</v>
      </c>
      <c r="B7" s="13">
        <v>35.159999999999997</v>
      </c>
      <c r="C7" s="4">
        <f t="shared" si="0"/>
        <v>7.9599999999999973</v>
      </c>
    </row>
    <row r="8" spans="1:5" ht="20.25" customHeight="1" x14ac:dyDescent="0.25">
      <c r="A8" s="2" t="s">
        <v>61</v>
      </c>
      <c r="B8" s="13">
        <v>36.9</v>
      </c>
      <c r="C8" s="4">
        <f t="shared" si="0"/>
        <v>1.740000000000002</v>
      </c>
    </row>
    <row r="9" spans="1:5" ht="20.25" customHeight="1" x14ac:dyDescent="0.25">
      <c r="A9" s="2" t="s">
        <v>60</v>
      </c>
      <c r="B9" s="13">
        <v>68.3</v>
      </c>
      <c r="C9" s="4">
        <f t="shared" si="0"/>
        <v>31.4</v>
      </c>
    </row>
    <row r="10" spans="1:5" ht="20.25" customHeight="1" x14ac:dyDescent="0.25">
      <c r="A10" s="2" t="s">
        <v>59</v>
      </c>
      <c r="B10" s="13">
        <v>132.26</v>
      </c>
      <c r="C10" s="4">
        <f t="shared" si="0"/>
        <v>63.959999999999994</v>
      </c>
    </row>
    <row r="11" spans="1:5" ht="20.25" customHeight="1" x14ac:dyDescent="0.25">
      <c r="A11" s="2" t="s">
        <v>58</v>
      </c>
      <c r="B11" s="13">
        <v>151.1</v>
      </c>
      <c r="C11" s="4">
        <f t="shared" si="0"/>
        <v>18.840000000000003</v>
      </c>
    </row>
    <row r="12" spans="1:5" ht="20.25" customHeight="1" x14ac:dyDescent="0.25">
      <c r="A12" s="2" t="s">
        <v>57</v>
      </c>
      <c r="B12" s="13">
        <v>464.18</v>
      </c>
      <c r="C12" s="4">
        <f t="shared" si="0"/>
        <v>313.08000000000004</v>
      </c>
    </row>
    <row r="13" spans="1:5" ht="20.25" customHeight="1" x14ac:dyDescent="0.25">
      <c r="A13" s="2" t="s">
        <v>15</v>
      </c>
      <c r="B13" s="13">
        <v>844.73</v>
      </c>
      <c r="C13" s="4">
        <f t="shared" si="0"/>
        <v>380.55</v>
      </c>
    </row>
  </sheetData>
  <sortState xmlns:xlrd2="http://schemas.microsoft.com/office/spreadsheetml/2017/richdata2" ref="A3:B13">
    <sortCondition ref="B3:B13"/>
  </sortState>
  <mergeCells count="1">
    <mergeCell ref="A1:B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workbookViewId="0">
      <selection activeCell="L20" sqref="L20"/>
    </sheetView>
  </sheetViews>
  <sheetFormatPr defaultColWidth="9" defaultRowHeight="15.5" x14ac:dyDescent="0.25"/>
  <cols>
    <col min="1" max="1" width="14.453125" style="1" customWidth="1"/>
    <col min="2" max="3" width="20.08984375" style="1" customWidth="1"/>
    <col min="4" max="4" width="13.453125" style="1" customWidth="1"/>
    <col min="5" max="6" width="9.36328125" style="1" customWidth="1"/>
    <col min="7" max="16384" width="9" style="1"/>
  </cols>
  <sheetData>
    <row r="1" spans="1:4" ht="22.5" customHeight="1" x14ac:dyDescent="0.25">
      <c r="A1" s="17" t="s">
        <v>65</v>
      </c>
      <c r="B1" s="17"/>
      <c r="C1" s="17"/>
      <c r="D1" s="17"/>
    </row>
    <row r="2" spans="1:4" ht="20" x14ac:dyDescent="0.25">
      <c r="A2" s="7" t="s">
        <v>11</v>
      </c>
      <c r="B2" s="7" t="s">
        <v>100</v>
      </c>
      <c r="C2" s="7" t="s">
        <v>67</v>
      </c>
      <c r="D2" s="7" t="s">
        <v>66</v>
      </c>
    </row>
    <row r="3" spans="1:4" x14ac:dyDescent="0.25">
      <c r="A3" s="2" t="s">
        <v>3</v>
      </c>
      <c r="B3" s="2">
        <v>1567.8</v>
      </c>
      <c r="C3" s="5">
        <f t="shared" ref="C3:C11" si="0">B3/SUM($B$3:$B$11)</f>
        <v>0.36152746391182028</v>
      </c>
      <c r="D3" s="12">
        <f>SUM($C$3:C3)</f>
        <v>0.36152746391182028</v>
      </c>
    </row>
    <row r="4" spans="1:4" x14ac:dyDescent="0.25">
      <c r="A4" s="2" t="s">
        <v>4</v>
      </c>
      <c r="B4" s="2">
        <v>624.5</v>
      </c>
      <c r="C4" s="5">
        <f t="shared" si="0"/>
        <v>0.14400682562376055</v>
      </c>
      <c r="D4" s="12">
        <f>SUM($C$3:C4)</f>
        <v>0.50553428953558077</v>
      </c>
    </row>
    <row r="5" spans="1:4" x14ac:dyDescent="0.25">
      <c r="A5" s="2" t="s">
        <v>5</v>
      </c>
      <c r="B5" s="2">
        <v>545.9</v>
      </c>
      <c r="C5" s="5">
        <f t="shared" si="0"/>
        <v>0.1258820273947332</v>
      </c>
      <c r="D5" s="12">
        <f>SUM($C$3:C5)</f>
        <v>0.63141631693031397</v>
      </c>
    </row>
    <row r="6" spans="1:4" x14ac:dyDescent="0.25">
      <c r="A6" s="2" t="s">
        <v>12</v>
      </c>
      <c r="B6" s="2">
        <v>515.29999999999995</v>
      </c>
      <c r="C6" s="5">
        <f t="shared" si="0"/>
        <v>0.11882580823686757</v>
      </c>
      <c r="D6" s="12">
        <f>SUM($C$3:C6)</f>
        <v>0.75024212516718158</v>
      </c>
    </row>
    <row r="7" spans="1:4" x14ac:dyDescent="0.25">
      <c r="A7" s="2" t="s">
        <v>6</v>
      </c>
      <c r="B7" s="2">
        <v>432.3</v>
      </c>
      <c r="C7" s="5">
        <f t="shared" si="0"/>
        <v>9.9686390259650412E-2</v>
      </c>
      <c r="D7" s="12">
        <f>SUM($C$3:C7)</f>
        <v>0.84992851542683201</v>
      </c>
    </row>
    <row r="8" spans="1:4" x14ac:dyDescent="0.25">
      <c r="A8" s="2" t="s">
        <v>10</v>
      </c>
      <c r="B8" s="2">
        <v>310.10000000000002</v>
      </c>
      <c r="C8" s="5">
        <f t="shared" si="0"/>
        <v>7.1507632707651161E-2</v>
      </c>
      <c r="D8" s="12">
        <f>SUM($C$3:C8)</f>
        <v>0.92143614813448316</v>
      </c>
    </row>
    <row r="9" spans="1:4" x14ac:dyDescent="0.25">
      <c r="A9" s="2" t="s">
        <v>7</v>
      </c>
      <c r="B9" s="2">
        <v>187.8</v>
      </c>
      <c r="C9" s="5">
        <f t="shared" si="0"/>
        <v>4.3305815615920305E-2</v>
      </c>
      <c r="D9" s="12">
        <f>SUM($C$3:C9)</f>
        <v>0.96474196375040344</v>
      </c>
    </row>
    <row r="10" spans="1:4" x14ac:dyDescent="0.25">
      <c r="A10" s="2" t="s">
        <v>8</v>
      </c>
      <c r="B10" s="2">
        <v>96.1</v>
      </c>
      <c r="C10" s="5">
        <f t="shared" si="0"/>
        <v>2.2160217682055065E-2</v>
      </c>
      <c r="D10" s="12">
        <f>SUM($C$3:C10)</f>
        <v>0.98690218143245856</v>
      </c>
    </row>
    <row r="11" spans="1:4" x14ac:dyDescent="0.25">
      <c r="A11" s="2" t="s">
        <v>9</v>
      </c>
      <c r="B11" s="2">
        <v>56.8</v>
      </c>
      <c r="C11" s="5">
        <f t="shared" si="0"/>
        <v>1.309781856754139E-2</v>
      </c>
      <c r="D11" s="12">
        <f>SUM($C$3:C11)</f>
        <v>1</v>
      </c>
    </row>
  </sheetData>
  <sortState xmlns:xlrd2="http://schemas.microsoft.com/office/spreadsheetml/2017/richdata2" ref="A3:D11">
    <sortCondition descending="1" ref="B3:B11"/>
  </sortState>
  <mergeCells count="1">
    <mergeCell ref="A1:D1"/>
  </mergeCells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workbookViewId="0">
      <selection sqref="A1:D1"/>
    </sheetView>
  </sheetViews>
  <sheetFormatPr defaultColWidth="9" defaultRowHeight="15.5" x14ac:dyDescent="0.25"/>
  <cols>
    <col min="1" max="1" width="26.7265625" style="1" customWidth="1"/>
    <col min="2" max="3" width="19.453125" style="1" customWidth="1"/>
    <col min="4" max="4" width="17.7265625" style="1" customWidth="1"/>
    <col min="5" max="16384" width="9" style="1"/>
  </cols>
  <sheetData>
    <row r="1" spans="1:4" ht="29.25" customHeight="1" x14ac:dyDescent="0.25">
      <c r="A1" s="14" t="s">
        <v>79</v>
      </c>
      <c r="B1" s="14"/>
      <c r="C1" s="14"/>
      <c r="D1" s="14"/>
    </row>
    <row r="2" spans="1:4" ht="21" customHeight="1" x14ac:dyDescent="0.25">
      <c r="A2" s="6" t="s">
        <v>68</v>
      </c>
      <c r="B2" s="6" t="s">
        <v>80</v>
      </c>
      <c r="C2" s="6" t="s">
        <v>82</v>
      </c>
      <c r="D2" s="6" t="s">
        <v>81</v>
      </c>
    </row>
    <row r="3" spans="1:4" ht="24" customHeight="1" x14ac:dyDescent="0.25">
      <c r="A3" s="2" t="s">
        <v>72</v>
      </c>
      <c r="B3" s="2">
        <v>-1377</v>
      </c>
      <c r="C3" s="2">
        <v>1000</v>
      </c>
      <c r="D3" s="2">
        <v>734</v>
      </c>
    </row>
    <row r="4" spans="1:4" ht="24" customHeight="1" x14ac:dyDescent="0.25">
      <c r="A4" s="2" t="s">
        <v>71</v>
      </c>
      <c r="B4" s="2">
        <v>-1253</v>
      </c>
      <c r="C4" s="2">
        <v>1000</v>
      </c>
      <c r="D4" s="2">
        <v>327</v>
      </c>
    </row>
    <row r="5" spans="1:4" ht="24" customHeight="1" x14ac:dyDescent="0.25">
      <c r="A5" s="2" t="s">
        <v>70</v>
      </c>
      <c r="B5" s="2">
        <v>-1246</v>
      </c>
      <c r="C5" s="2">
        <v>1000</v>
      </c>
      <c r="D5" s="2">
        <v>283</v>
      </c>
    </row>
    <row r="6" spans="1:4" ht="24" customHeight="1" x14ac:dyDescent="0.25">
      <c r="A6" s="2" t="s">
        <v>69</v>
      </c>
      <c r="B6" s="2">
        <v>-1216</v>
      </c>
      <c r="C6" s="2">
        <v>1000</v>
      </c>
      <c r="D6" s="2">
        <v>165</v>
      </c>
    </row>
    <row r="7" spans="1:4" ht="24" customHeight="1" x14ac:dyDescent="0.25">
      <c r="A7" s="2" t="s">
        <v>73</v>
      </c>
      <c r="B7" s="2">
        <v>-1197</v>
      </c>
      <c r="C7" s="2">
        <v>1000</v>
      </c>
      <c r="D7" s="2">
        <v>218</v>
      </c>
    </row>
    <row r="8" spans="1:4" ht="24" customHeight="1" x14ac:dyDescent="0.25">
      <c r="A8" s="2" t="s">
        <v>74</v>
      </c>
      <c r="B8" s="2">
        <v>-1146</v>
      </c>
      <c r="C8" s="2">
        <v>1000</v>
      </c>
      <c r="D8" s="2">
        <v>291</v>
      </c>
    </row>
    <row r="9" spans="1:4" ht="24" customHeight="1" x14ac:dyDescent="0.25">
      <c r="A9" s="2" t="s">
        <v>75</v>
      </c>
      <c r="B9" s="2">
        <v>-1098</v>
      </c>
      <c r="C9" s="2">
        <v>1000</v>
      </c>
      <c r="D9" s="2">
        <v>155</v>
      </c>
    </row>
    <row r="10" spans="1:4" ht="24" customHeight="1" x14ac:dyDescent="0.25">
      <c r="A10" s="2" t="s">
        <v>76</v>
      </c>
      <c r="B10" s="2">
        <v>-1091</v>
      </c>
      <c r="C10" s="2">
        <v>1000</v>
      </c>
      <c r="D10" s="2">
        <v>159</v>
      </c>
    </row>
    <row r="11" spans="1:4" ht="24" customHeight="1" x14ac:dyDescent="0.25">
      <c r="A11" s="2" t="s">
        <v>77</v>
      </c>
      <c r="B11" s="2">
        <v>-534</v>
      </c>
      <c r="C11" s="2">
        <v>1000</v>
      </c>
      <c r="D11" s="2">
        <v>30</v>
      </c>
    </row>
    <row r="12" spans="1:4" ht="24" customHeight="1" x14ac:dyDescent="0.25">
      <c r="A12" s="2" t="s">
        <v>78</v>
      </c>
      <c r="B12" s="2">
        <v>-6</v>
      </c>
      <c r="C12" s="2">
        <v>1000</v>
      </c>
      <c r="D12" s="2">
        <v>4</v>
      </c>
    </row>
  </sheetData>
  <mergeCells count="1">
    <mergeCell ref="A1:D1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2"/>
  <sheetViews>
    <sheetView workbookViewId="0">
      <selection activeCell="M25" sqref="M25"/>
    </sheetView>
  </sheetViews>
  <sheetFormatPr defaultRowHeight="14" x14ac:dyDescent="0.25"/>
  <cols>
    <col min="1" max="1" width="20.81640625" customWidth="1"/>
    <col min="2" max="2" width="18.453125" customWidth="1"/>
    <col min="3" max="3" width="29.54296875" customWidth="1"/>
  </cols>
  <sheetData>
    <row r="1" spans="1:3" ht="22.5" x14ac:dyDescent="0.25">
      <c r="A1" s="14" t="s">
        <v>79</v>
      </c>
      <c r="B1" s="14"/>
      <c r="C1" s="14"/>
    </row>
    <row r="2" spans="1:3" ht="15.5" x14ac:dyDescent="0.25">
      <c r="A2" s="6" t="s">
        <v>68</v>
      </c>
      <c r="B2" s="6" t="s">
        <v>80</v>
      </c>
      <c r="C2" s="6" t="s">
        <v>81</v>
      </c>
    </row>
    <row r="3" spans="1:3" ht="15.5" x14ac:dyDescent="0.25">
      <c r="A3" s="2" t="s">
        <v>72</v>
      </c>
      <c r="B3" s="2">
        <v>-1377</v>
      </c>
      <c r="C3" s="2">
        <v>734</v>
      </c>
    </row>
    <row r="4" spans="1:3" ht="15.5" x14ac:dyDescent="0.25">
      <c r="A4" s="2" t="s">
        <v>71</v>
      </c>
      <c r="B4" s="2">
        <v>-1253</v>
      </c>
      <c r="C4" s="2">
        <v>327</v>
      </c>
    </row>
    <row r="5" spans="1:3" ht="15.5" x14ac:dyDescent="0.25">
      <c r="A5" s="2" t="s">
        <v>70</v>
      </c>
      <c r="B5" s="2">
        <v>-1246</v>
      </c>
      <c r="C5" s="2">
        <v>283</v>
      </c>
    </row>
    <row r="6" spans="1:3" ht="15.5" x14ac:dyDescent="0.25">
      <c r="A6" s="2" t="s">
        <v>69</v>
      </c>
      <c r="B6" s="2">
        <v>-1216</v>
      </c>
      <c r="C6" s="2">
        <v>165</v>
      </c>
    </row>
    <row r="7" spans="1:3" ht="15.5" x14ac:dyDescent="0.25">
      <c r="A7" s="2" t="s">
        <v>73</v>
      </c>
      <c r="B7" s="2">
        <v>-1197</v>
      </c>
      <c r="C7" s="2">
        <v>218</v>
      </c>
    </row>
    <row r="8" spans="1:3" ht="15.5" x14ac:dyDescent="0.25">
      <c r="A8" s="2" t="s">
        <v>74</v>
      </c>
      <c r="B8" s="2">
        <v>-1146</v>
      </c>
      <c r="C8" s="2">
        <v>291</v>
      </c>
    </row>
    <row r="9" spans="1:3" ht="15.5" x14ac:dyDescent="0.25">
      <c r="A9" s="2" t="s">
        <v>75</v>
      </c>
      <c r="B9" s="2">
        <v>-1098</v>
      </c>
      <c r="C9" s="2">
        <v>155</v>
      </c>
    </row>
    <row r="10" spans="1:3" ht="15.5" x14ac:dyDescent="0.25">
      <c r="A10" s="2" t="s">
        <v>76</v>
      </c>
      <c r="B10" s="2">
        <v>-1091</v>
      </c>
      <c r="C10" s="2">
        <v>159</v>
      </c>
    </row>
    <row r="11" spans="1:3" ht="15.5" x14ac:dyDescent="0.25">
      <c r="A11" s="2" t="s">
        <v>77</v>
      </c>
      <c r="B11" s="2">
        <v>-534</v>
      </c>
      <c r="C11" s="2">
        <v>30</v>
      </c>
    </row>
    <row r="12" spans="1:3" ht="15.5" x14ac:dyDescent="0.25">
      <c r="A12" s="2" t="s">
        <v>78</v>
      </c>
      <c r="B12" s="2">
        <v>-6</v>
      </c>
      <c r="C12" s="2">
        <v>4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"/>
  <sheetViews>
    <sheetView workbookViewId="0">
      <selection activeCell="T31" sqref="T31"/>
    </sheetView>
  </sheetViews>
  <sheetFormatPr defaultRowHeight="14" x14ac:dyDescent="0.25"/>
  <cols>
    <col min="1" max="1" width="16.08984375" customWidth="1"/>
    <col min="2" max="2" width="14.453125" customWidth="1"/>
  </cols>
  <sheetData>
    <row r="1" spans="1:2" ht="22.5" x14ac:dyDescent="0.25">
      <c r="A1" s="14" t="s">
        <v>91</v>
      </c>
      <c r="B1" s="14"/>
    </row>
    <row r="2" spans="1:2" ht="15.5" x14ac:dyDescent="0.25">
      <c r="A2" s="6" t="s">
        <v>88</v>
      </c>
      <c r="B2" s="6" t="s">
        <v>43</v>
      </c>
    </row>
    <row r="3" spans="1:2" ht="15.5" x14ac:dyDescent="0.25">
      <c r="A3" s="2" t="s">
        <v>83</v>
      </c>
      <c r="B3" s="2">
        <v>15667</v>
      </c>
    </row>
    <row r="4" spans="1:2" ht="15.5" x14ac:dyDescent="0.25">
      <c r="A4" s="2" t="s">
        <v>84</v>
      </c>
      <c r="B4" s="2">
        <v>4636</v>
      </c>
    </row>
    <row r="5" spans="1:2" ht="15.5" x14ac:dyDescent="0.25">
      <c r="A5" s="2" t="s">
        <v>85</v>
      </c>
      <c r="B5" s="2">
        <v>1468</v>
      </c>
    </row>
    <row r="6" spans="1:2" ht="15.5" x14ac:dyDescent="0.25">
      <c r="A6" s="2" t="s">
        <v>86</v>
      </c>
      <c r="B6" s="2">
        <v>976</v>
      </c>
    </row>
    <row r="7" spans="1:2" ht="15.5" x14ac:dyDescent="0.25">
      <c r="A7" s="2" t="s">
        <v>87</v>
      </c>
      <c r="B7" s="2">
        <v>846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"/>
  <sheetViews>
    <sheetView workbookViewId="0">
      <selection activeCell="L26" sqref="L26"/>
    </sheetView>
  </sheetViews>
  <sheetFormatPr defaultRowHeight="14" x14ac:dyDescent="0.25"/>
  <cols>
    <col min="1" max="1" width="14.08984375" customWidth="1"/>
    <col min="2" max="2" width="14.7265625" customWidth="1"/>
  </cols>
  <sheetData>
    <row r="1" spans="1:2" ht="22.5" x14ac:dyDescent="0.25">
      <c r="A1" s="14" t="s">
        <v>44</v>
      </c>
      <c r="B1" s="14"/>
    </row>
    <row r="2" spans="1:2" ht="15.5" x14ac:dyDescent="0.25">
      <c r="A2" s="2" t="s">
        <v>36</v>
      </c>
      <c r="B2" s="2" t="s">
        <v>43</v>
      </c>
    </row>
    <row r="3" spans="1:2" ht="15.5" x14ac:dyDescent="0.25">
      <c r="A3" s="2" t="s">
        <v>37</v>
      </c>
      <c r="B3" s="2">
        <v>69470</v>
      </c>
    </row>
    <row r="4" spans="1:2" ht="15.5" x14ac:dyDescent="0.25">
      <c r="A4" s="2" t="s">
        <v>38</v>
      </c>
      <c r="B4" s="2">
        <v>68587</v>
      </c>
    </row>
    <row r="5" spans="1:2" ht="15.5" x14ac:dyDescent="0.25">
      <c r="A5" s="2" t="s">
        <v>39</v>
      </c>
      <c r="B5" s="2">
        <v>75877</v>
      </c>
    </row>
    <row r="6" spans="1:2" ht="15.5" x14ac:dyDescent="0.25">
      <c r="A6" s="2" t="s">
        <v>40</v>
      </c>
      <c r="B6" s="2">
        <v>60789</v>
      </c>
    </row>
    <row r="7" spans="1:2" ht="15.5" x14ac:dyDescent="0.25">
      <c r="A7" s="2" t="s">
        <v>41</v>
      </c>
      <c r="B7" s="2">
        <v>49356</v>
      </c>
    </row>
    <row r="8" spans="1:2" ht="15.5" x14ac:dyDescent="0.25">
      <c r="A8" s="2" t="s">
        <v>42</v>
      </c>
      <c r="B8" s="2">
        <v>64764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"/>
  <sheetViews>
    <sheetView workbookViewId="0">
      <selection activeCell="L16" sqref="L16"/>
    </sheetView>
  </sheetViews>
  <sheetFormatPr defaultColWidth="9" defaultRowHeight="15.5" x14ac:dyDescent="0.25"/>
  <cols>
    <col min="1" max="1" width="20.26953125" style="1" customWidth="1"/>
    <col min="2" max="2" width="19.26953125" style="1" customWidth="1"/>
    <col min="3" max="3" width="17.1796875" style="1" customWidth="1"/>
    <col min="4" max="16384" width="9" style="1"/>
  </cols>
  <sheetData>
    <row r="1" spans="1:3" ht="22.5" customHeight="1" x14ac:dyDescent="0.25">
      <c r="A1" s="17" t="s">
        <v>90</v>
      </c>
      <c r="B1" s="17"/>
      <c r="C1" s="17"/>
    </row>
    <row r="2" spans="1:3" ht="18.75" customHeight="1" x14ac:dyDescent="0.25">
      <c r="A2" s="2" t="s">
        <v>0</v>
      </c>
      <c r="B2" s="2" t="s">
        <v>33</v>
      </c>
      <c r="C2" s="2" t="s">
        <v>89</v>
      </c>
    </row>
    <row r="3" spans="1:3" ht="18.75" customHeight="1" x14ac:dyDescent="0.25">
      <c r="A3" s="2" t="s">
        <v>27</v>
      </c>
      <c r="B3" s="2">
        <v>36.1</v>
      </c>
      <c r="C3" s="2">
        <v>63</v>
      </c>
    </row>
    <row r="4" spans="1:3" ht="18.75" customHeight="1" x14ac:dyDescent="0.25">
      <c r="A4" s="2" t="s">
        <v>28</v>
      </c>
      <c r="B4" s="2">
        <v>69.8</v>
      </c>
      <c r="C4" s="2">
        <v>127</v>
      </c>
    </row>
    <row r="5" spans="1:3" ht="18.75" customHeight="1" x14ac:dyDescent="0.25">
      <c r="A5" s="2" t="s">
        <v>29</v>
      </c>
      <c r="B5" s="2">
        <v>188.1</v>
      </c>
      <c r="C5" s="2">
        <v>201</v>
      </c>
    </row>
    <row r="6" spans="1:3" ht="18.75" customHeight="1" x14ac:dyDescent="0.25">
      <c r="A6" s="2" t="s">
        <v>30</v>
      </c>
      <c r="B6" s="2">
        <v>140.19999999999999</v>
      </c>
      <c r="C6" s="2">
        <v>140</v>
      </c>
    </row>
    <row r="7" spans="1:3" ht="18.75" customHeight="1" x14ac:dyDescent="0.25">
      <c r="A7" s="2" t="s">
        <v>31</v>
      </c>
      <c r="B7" s="2">
        <v>224.4</v>
      </c>
      <c r="C7" s="2">
        <v>56</v>
      </c>
    </row>
    <row r="8" spans="1:3" x14ac:dyDescent="0.25">
      <c r="A8" s="2" t="s">
        <v>32</v>
      </c>
      <c r="B8" s="2">
        <v>4.8</v>
      </c>
      <c r="C8" s="2">
        <v>13</v>
      </c>
    </row>
  </sheetData>
  <mergeCells count="1">
    <mergeCell ref="A1:C1"/>
  </mergeCells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C9D6D-6FE0-48FA-BE1B-8F7BE5BCC366}">
  <dimension ref="A1:B8"/>
  <sheetViews>
    <sheetView workbookViewId="0">
      <selection activeCell="I12" sqref="I12"/>
    </sheetView>
  </sheetViews>
  <sheetFormatPr defaultRowHeight="14" x14ac:dyDescent="0.25"/>
  <cols>
    <col min="1" max="1" width="14.6328125" customWidth="1"/>
    <col min="2" max="2" width="13.36328125" customWidth="1"/>
  </cols>
  <sheetData>
    <row r="1" spans="1:2" ht="22.5" x14ac:dyDescent="0.25">
      <c r="A1" s="14" t="s">
        <v>44</v>
      </c>
      <c r="B1" s="14"/>
    </row>
    <row r="2" spans="1:2" ht="15.5" x14ac:dyDescent="0.25">
      <c r="A2" s="2" t="s">
        <v>36</v>
      </c>
      <c r="B2" s="2" t="s">
        <v>43</v>
      </c>
    </row>
    <row r="3" spans="1:2" ht="15.5" x14ac:dyDescent="0.25">
      <c r="A3" s="2" t="s">
        <v>37</v>
      </c>
      <c r="B3" s="2">
        <v>69470</v>
      </c>
    </row>
    <row r="4" spans="1:2" ht="15.5" x14ac:dyDescent="0.25">
      <c r="A4" s="2" t="s">
        <v>38</v>
      </c>
      <c r="B4" s="2">
        <v>68587</v>
      </c>
    </row>
    <row r="5" spans="1:2" ht="15.5" x14ac:dyDescent="0.25">
      <c r="A5" s="2" t="s">
        <v>39</v>
      </c>
      <c r="B5" s="2">
        <v>75877</v>
      </c>
    </row>
    <row r="6" spans="1:2" ht="15.5" x14ac:dyDescent="0.25">
      <c r="A6" s="2" t="s">
        <v>40</v>
      </c>
      <c r="B6" s="2">
        <v>60789</v>
      </c>
    </row>
    <row r="7" spans="1:2" ht="15.5" x14ac:dyDescent="0.25">
      <c r="A7" s="2" t="s">
        <v>41</v>
      </c>
      <c r="B7" s="2">
        <v>49356</v>
      </c>
    </row>
    <row r="8" spans="1:2" ht="15.5" x14ac:dyDescent="0.25">
      <c r="A8" s="2" t="s">
        <v>42</v>
      </c>
      <c r="B8" s="2">
        <v>64764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ECAF3-5355-4AC5-9682-F126A9526B7B}">
  <dimension ref="A1:K3"/>
  <sheetViews>
    <sheetView tabSelected="1" workbookViewId="0">
      <selection activeCell="P7" sqref="P7"/>
    </sheetView>
  </sheetViews>
  <sheetFormatPr defaultRowHeight="14" x14ac:dyDescent="0.25"/>
  <cols>
    <col min="1" max="1" width="11.26953125" customWidth="1"/>
  </cols>
  <sheetData>
    <row r="1" spans="1:11" ht="22.5" x14ac:dyDescent="0.25">
      <c r="A1" s="14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5.5" x14ac:dyDescent="0.25">
      <c r="A2" s="2" t="s">
        <v>0</v>
      </c>
      <c r="B2" s="2">
        <v>2010</v>
      </c>
      <c r="C2" s="2">
        <v>2011</v>
      </c>
      <c r="D2" s="2">
        <v>2012</v>
      </c>
      <c r="E2" s="2">
        <v>2013</v>
      </c>
      <c r="F2" s="2">
        <v>2014</v>
      </c>
      <c r="G2" s="2">
        <v>2015</v>
      </c>
      <c r="H2" s="2">
        <v>2016</v>
      </c>
      <c r="I2" s="2">
        <v>2017</v>
      </c>
      <c r="J2" s="2">
        <v>2018</v>
      </c>
      <c r="K2" s="2">
        <v>2019</v>
      </c>
    </row>
    <row r="3" spans="1:11" ht="31" x14ac:dyDescent="0.25">
      <c r="A3" s="3" t="s">
        <v>21</v>
      </c>
      <c r="B3" s="2">
        <v>70.2</v>
      </c>
      <c r="C3" s="2">
        <v>60.4</v>
      </c>
      <c r="D3" s="2">
        <v>47.6</v>
      </c>
      <c r="E3" s="2">
        <v>45.85</v>
      </c>
      <c r="F3" s="2">
        <v>51.7</v>
      </c>
      <c r="G3" s="2">
        <v>35.299999999999997</v>
      </c>
      <c r="H3" s="2">
        <v>29.87</v>
      </c>
      <c r="I3" s="2">
        <v>29.06</v>
      </c>
      <c r="J3" s="2">
        <v>24.21</v>
      </c>
      <c r="K3" s="2">
        <v>18.22</v>
      </c>
    </row>
  </sheetData>
  <mergeCells count="1">
    <mergeCell ref="A1:K1"/>
  </mergeCells>
  <phoneticPr fontId="1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A5280-9CFE-4A0F-9D54-8211BAFABE49}">
  <dimension ref="A1:C9"/>
  <sheetViews>
    <sheetView workbookViewId="0">
      <selection activeCell="N5" sqref="N5"/>
    </sheetView>
  </sheetViews>
  <sheetFormatPr defaultRowHeight="14" x14ac:dyDescent="0.25"/>
  <cols>
    <col min="1" max="1" width="14.1796875" customWidth="1"/>
    <col min="2" max="2" width="17.6328125" customWidth="1"/>
    <col min="3" max="3" width="11.453125" customWidth="1"/>
  </cols>
  <sheetData>
    <row r="1" spans="1:3" ht="22.5" x14ac:dyDescent="0.25">
      <c r="A1" s="14" t="s">
        <v>63</v>
      </c>
      <c r="B1" s="14"/>
    </row>
    <row r="2" spans="1:3" ht="15.5" x14ac:dyDescent="0.25">
      <c r="A2" s="6" t="s">
        <v>56</v>
      </c>
      <c r="B2" s="6" t="s">
        <v>99</v>
      </c>
      <c r="C2" s="6" t="s">
        <v>101</v>
      </c>
    </row>
    <row r="3" spans="1:3" ht="15.5" x14ac:dyDescent="0.25">
      <c r="A3" s="2" t="s">
        <v>58</v>
      </c>
      <c r="B3" s="13">
        <v>151.1</v>
      </c>
      <c r="C3">
        <f>AVERAGE(B3:B9)</f>
        <v>247.51857142857145</v>
      </c>
    </row>
    <row r="4" spans="1:3" ht="15.5" x14ac:dyDescent="0.25">
      <c r="A4" s="2" t="s">
        <v>15</v>
      </c>
      <c r="B4" s="13">
        <v>844.73</v>
      </c>
      <c r="C4">
        <f>AVERAGE(B3:B9)</f>
        <v>247.51857142857145</v>
      </c>
    </row>
    <row r="5" spans="1:3" ht="15.5" x14ac:dyDescent="0.25">
      <c r="A5" s="2" t="s">
        <v>61</v>
      </c>
      <c r="B5" s="13">
        <v>36.9</v>
      </c>
      <c r="C5">
        <f>AVERAGE(B3:B9)</f>
        <v>247.51857142857145</v>
      </c>
    </row>
    <row r="6" spans="1:3" ht="15.5" x14ac:dyDescent="0.25">
      <c r="A6" s="2" t="s">
        <v>59</v>
      </c>
      <c r="B6" s="13">
        <v>132.26</v>
      </c>
      <c r="C6">
        <f>AVERAGE(B3:B9)</f>
        <v>247.51857142857145</v>
      </c>
    </row>
    <row r="7" spans="1:3" ht="15.5" x14ac:dyDescent="0.25">
      <c r="A7" s="2" t="s">
        <v>60</v>
      </c>
      <c r="B7" s="13">
        <v>68.3</v>
      </c>
      <c r="C7">
        <f>AVERAGE(B3:B9)</f>
        <v>247.51857142857145</v>
      </c>
    </row>
    <row r="8" spans="1:3" ht="15.5" x14ac:dyDescent="0.25">
      <c r="A8" s="2" t="s">
        <v>62</v>
      </c>
      <c r="B8" s="13">
        <v>35.159999999999997</v>
      </c>
      <c r="C8">
        <f>AVERAGE(B3:B9)</f>
        <v>247.51857142857145</v>
      </c>
    </row>
    <row r="9" spans="1:3" ht="15.5" x14ac:dyDescent="0.25">
      <c r="A9" s="2" t="s">
        <v>57</v>
      </c>
      <c r="B9" s="13">
        <v>464.18</v>
      </c>
      <c r="C9">
        <f>AVERAGE(B3:B9)</f>
        <v>247.51857142857145</v>
      </c>
    </row>
  </sheetData>
  <mergeCells count="1">
    <mergeCell ref="A1:B1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柱形图</vt:lpstr>
      <vt:lpstr>饼图</vt:lpstr>
      <vt:lpstr>散点图</vt:lpstr>
      <vt:lpstr>折线图</vt:lpstr>
      <vt:lpstr>平均线图</vt:lpstr>
      <vt:lpstr>双坐标图</vt:lpstr>
      <vt:lpstr>竖形折线图</vt:lpstr>
      <vt:lpstr>瀑布图</vt:lpstr>
      <vt:lpstr>帕累托图</vt:lpstr>
      <vt:lpstr>旋风图</vt:lpstr>
      <vt:lpstr>金字塔图</vt:lpstr>
      <vt:lpstr>漏斗图</vt:lpstr>
      <vt:lpstr>矩形树图</vt:lpstr>
      <vt:lpstr>气泡图</vt:lpstr>
      <vt:lpstr>图6-134</vt:lpstr>
      <vt:lpstr>图6-135</vt:lpstr>
      <vt:lpstr>课后案例分析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木鱼</dc:creator>
  <cp:lastModifiedBy>LIRONG YAN</cp:lastModifiedBy>
  <dcterms:created xsi:type="dcterms:W3CDTF">2016-01-18T03:25:30Z</dcterms:created>
  <dcterms:modified xsi:type="dcterms:W3CDTF">2022-04-30T09:22:02Z</dcterms:modified>
</cp:coreProperties>
</file>
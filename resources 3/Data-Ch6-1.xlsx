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F:\Project\第6章 新媒体数据的可视化\第六章 数据\"/>
    </mc:Choice>
  </mc:AlternateContent>
  <xr:revisionPtr revIDLastSave="0" documentId="8_{C0BDE506-93F7-47DE-B9D7-F2060E035060}" xr6:coauthVersionLast="47" xr6:coauthVersionMax="47" xr10:uidLastSave="{00000000-0000-0000-0000-000000000000}"/>
  <bookViews>
    <workbookView xWindow="-110" yWindow="-110" windowWidth="22620" windowHeight="13620" firstSheet="6" activeTab="16" xr2:uid="{00000000-000D-0000-FFFF-FFFF00000000}"/>
  </bookViews>
  <sheets>
    <sheet name="柱形图" sheetId="1" r:id="rId1"/>
    <sheet name="饼图" sheetId="4" r:id="rId2"/>
    <sheet name="散点图" sheetId="7" r:id="rId3"/>
    <sheet name="折线图" sheetId="3" r:id="rId4"/>
    <sheet name="平均线图" sheetId="5" r:id="rId5"/>
    <sheet name="双坐标图" sheetId="6" r:id="rId6"/>
    <sheet name="竖形折线图" sheetId="2" r:id="rId7"/>
    <sheet name="瀑布图" sheetId="8" r:id="rId8"/>
    <sheet name="帕累托图" sheetId="10" r:id="rId9"/>
    <sheet name="旋风图" sheetId="11" r:id="rId10"/>
    <sheet name="金字塔图" sheetId="12" r:id="rId11"/>
    <sheet name="漏斗图" sheetId="13" r:id="rId12"/>
    <sheet name="矩形树图" sheetId="14" r:id="rId13"/>
    <sheet name="气泡图" sheetId="9" r:id="rId14"/>
    <sheet name="图6-134" sheetId="16" r:id="rId15"/>
    <sheet name="图6-135" sheetId="17" r:id="rId16"/>
    <sheet name="课后案例分析" sheetId="15" r:id="rId17"/>
  </sheets>
  <definedNames>
    <definedName name="_xlchart.v1.0" hidden="1">瀑布图!$A$3:$A$13</definedName>
    <definedName name="_xlchart.v1.1" hidden="1">瀑布图!$C$2</definedName>
    <definedName name="_xlchart.v1.2" hidden="1">瀑布图!$C$3:$C$13</definedName>
    <definedName name="_xlchart.v1.6" hidden="1">矩形树图!$A$3:$A$8</definedName>
    <definedName name="_xlchart.v1.7" hidden="1">矩形树图!$B$2</definedName>
    <definedName name="_xlchart.v1.8" hidden="1">矩形树图!$B$3:$B$8</definedName>
    <definedName name="_xlchart.v2.3" hidden="1">漏斗图!$A$3:$A$7</definedName>
    <definedName name="_xlchart.v2.4" hidden="1">漏斗图!$B$2</definedName>
    <definedName name="_xlchart.v2.5" hidden="1">漏斗图!$B$3:$B$7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8" l="1"/>
  <c r="C5" i="8"/>
  <c r="C6" i="8"/>
  <c r="C7" i="8"/>
  <c r="C8" i="8"/>
  <c r="C9" i="8"/>
  <c r="C10" i="8"/>
  <c r="C11" i="8"/>
  <c r="C12" i="8"/>
  <c r="C13" i="8"/>
  <c r="C3" i="5"/>
  <c r="C3" i="10"/>
  <c r="C11" i="10"/>
  <c r="C10" i="10"/>
  <c r="C9" i="10"/>
  <c r="C8" i="10"/>
  <c r="C7" i="10"/>
  <c r="C6" i="10"/>
  <c r="C5" i="10"/>
  <c r="C4" i="10"/>
  <c r="D3" i="10"/>
  <c r="C4" i="4"/>
  <c r="C5" i="4"/>
  <c r="C6" i="4"/>
  <c r="C7" i="4"/>
  <c r="C8" i="4"/>
  <c r="C9" i="4"/>
  <c r="C10" i="4"/>
  <c r="C11" i="4"/>
  <c r="C3" i="4"/>
  <c r="D4" i="10"/>
  <c r="D5" i="10"/>
  <c r="D6" i="10"/>
  <c r="D7" i="10"/>
  <c r="D9" i="10"/>
  <c r="D8" i="10"/>
  <c r="D10" i="10"/>
  <c r="D11" i="10"/>
  <c r="C4" i="5"/>
  <c r="C5" i="5"/>
  <c r="C6" i="5"/>
  <c r="C7" i="5"/>
  <c r="C8" i="5"/>
</calcChain>
</file>

<file path=xl/sharedStrings.xml><?xml version="1.0" encoding="utf-8"?>
<sst xmlns="http://schemas.openxmlformats.org/spreadsheetml/2006/main" count="167" uniqueCount="101">
  <si>
    <t>年份</t>
    <phoneticPr fontId="1" type="noConversion"/>
  </si>
  <si>
    <t>所占百分比</t>
    <phoneticPr fontId="1" type="noConversion"/>
  </si>
  <si>
    <t>地区</t>
    <phoneticPr fontId="1" type="noConversion"/>
  </si>
  <si>
    <t>电商广告</t>
  </si>
  <si>
    <t>搜索广告</t>
  </si>
  <si>
    <t>视频广告</t>
  </si>
  <si>
    <t>社交广告</t>
  </si>
  <si>
    <t>分类广告</t>
  </si>
  <si>
    <t>工具</t>
  </si>
  <si>
    <t>垂直</t>
  </si>
  <si>
    <t>其他</t>
  </si>
  <si>
    <t>类别</t>
    <phoneticPr fontId="1" type="noConversion"/>
  </si>
  <si>
    <t>新闻资讯</t>
    <phoneticPr fontId="1" type="noConversion"/>
  </si>
  <si>
    <t>阿里巴巴</t>
    <phoneticPr fontId="1" type="noConversion"/>
  </si>
  <si>
    <t>京东</t>
    <phoneticPr fontId="1" type="noConversion"/>
  </si>
  <si>
    <t>腾讯</t>
    <phoneticPr fontId="1" type="noConversion"/>
  </si>
  <si>
    <t>百度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</si>
  <si>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</si>
  <si>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</si>
  <si>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</si>
  <si>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网络广告市场规模年增长率</t>
    <phoneticPr fontId="1" type="noConversion"/>
  </si>
  <si>
    <t>增幅
（百分比）</t>
    <phoneticPr fontId="1" type="noConversion"/>
  </si>
  <si>
    <t>2019年前三季度网络广告收入统计表</t>
    <phoneticPr fontId="1" type="noConversion"/>
  </si>
  <si>
    <t>收入</t>
    <phoneticPr fontId="1" type="noConversion"/>
  </si>
  <si>
    <t>直播总用户</t>
    <phoneticPr fontId="1" type="noConversion"/>
  </si>
  <si>
    <t>网络视频直播的用户数据</t>
    <phoneticPr fontId="1" type="noConversion"/>
  </si>
  <si>
    <t>游戏直播用户</t>
    <phoneticPr fontId="1" type="noConversion"/>
  </si>
  <si>
    <t>2014年</t>
    <phoneticPr fontId="1" type="noConversion"/>
  </si>
  <si>
    <t>2015年</t>
    <phoneticPr fontId="1" type="noConversion"/>
  </si>
  <si>
    <t>2016年</t>
  </si>
  <si>
    <t>2017年</t>
  </si>
  <si>
    <t>2018年</t>
  </si>
  <si>
    <t>2019年</t>
  </si>
  <si>
    <t>总投资额（亿元）</t>
    <phoneticPr fontId="1" type="noConversion"/>
  </si>
  <si>
    <t>平均融资额（亿元）</t>
    <phoneticPr fontId="1" type="noConversion"/>
  </si>
  <si>
    <t>2014-2019年直播行业融资额</t>
    <phoneticPr fontId="1" type="noConversion"/>
  </si>
  <si>
    <t>应用</t>
    <phoneticPr fontId="1" type="noConversion"/>
  </si>
  <si>
    <t>搜索引擎</t>
    <phoneticPr fontId="1" type="noConversion"/>
  </si>
  <si>
    <t>网络新闻</t>
    <phoneticPr fontId="1" type="noConversion"/>
  </si>
  <si>
    <t>网络视频</t>
    <phoneticPr fontId="1" type="noConversion"/>
  </si>
  <si>
    <t>网络音乐</t>
    <phoneticPr fontId="1" type="noConversion"/>
  </si>
  <si>
    <t>网络游戏</t>
    <phoneticPr fontId="1" type="noConversion"/>
  </si>
  <si>
    <t>短视频</t>
    <phoneticPr fontId="1" type="noConversion"/>
  </si>
  <si>
    <t>用户规模</t>
    <phoneticPr fontId="1" type="noConversion"/>
  </si>
  <si>
    <t>网民互联网使用情况</t>
    <phoneticPr fontId="1" type="noConversion"/>
  </si>
  <si>
    <t>2019年度互联网舆论场热点事件</t>
    <phoneticPr fontId="1" type="noConversion"/>
  </si>
  <si>
    <t>全国多地推行垃圾分类制度</t>
    <phoneticPr fontId="1" type="noConversion"/>
  </si>
  <si>
    <t>论坛</t>
    <phoneticPr fontId="1" type="noConversion"/>
  </si>
  <si>
    <t>博客</t>
    <phoneticPr fontId="1" type="noConversion"/>
  </si>
  <si>
    <t>报刊</t>
    <phoneticPr fontId="1" type="noConversion"/>
  </si>
  <si>
    <t>APP采集</t>
    <phoneticPr fontId="1" type="noConversion"/>
  </si>
  <si>
    <t>微博</t>
    <phoneticPr fontId="1" type="noConversion"/>
  </si>
  <si>
    <t>中美经贸摩擦</t>
    <phoneticPr fontId="1" type="noConversion"/>
  </si>
  <si>
    <t>辅助列1</t>
    <phoneticPr fontId="1" type="noConversion"/>
  </si>
  <si>
    <t>事件</t>
    <phoneticPr fontId="1" type="noConversion"/>
  </si>
  <si>
    <t>辅助列2</t>
    <phoneticPr fontId="1" type="noConversion"/>
  </si>
  <si>
    <t>公司</t>
    <phoneticPr fontId="1" type="noConversion"/>
  </si>
  <si>
    <t>网易</t>
    <phoneticPr fontId="1" type="noConversion"/>
  </si>
  <si>
    <t>世纪华通</t>
    <phoneticPr fontId="1" type="noConversion"/>
  </si>
  <si>
    <t>三七互娱</t>
    <phoneticPr fontId="1" type="noConversion"/>
  </si>
  <si>
    <t>完美世界</t>
    <phoneticPr fontId="1" type="noConversion"/>
  </si>
  <si>
    <t>昆仑万维</t>
    <phoneticPr fontId="1" type="noConversion"/>
  </si>
  <si>
    <t>游族网络</t>
    <phoneticPr fontId="1" type="noConversion"/>
  </si>
  <si>
    <t>2019年主要游戏上市公司收入情况</t>
    <phoneticPr fontId="1" type="noConversion"/>
  </si>
  <si>
    <t>互联网广告收入行业分布</t>
    <phoneticPr fontId="1" type="noConversion"/>
  </si>
  <si>
    <t>2019年互联网广告收入行业分布</t>
    <phoneticPr fontId="1" type="noConversion"/>
  </si>
  <si>
    <t>累计百分比</t>
    <phoneticPr fontId="1" type="noConversion"/>
  </si>
  <si>
    <t>所占百分比</t>
    <phoneticPr fontId="1" type="noConversion"/>
  </si>
  <si>
    <t>平台类别</t>
    <phoneticPr fontId="1" type="noConversion"/>
  </si>
  <si>
    <t>搜索类平台</t>
    <phoneticPr fontId="1" type="noConversion"/>
  </si>
  <si>
    <t>门户资讯平台</t>
    <phoneticPr fontId="1" type="noConversion"/>
  </si>
  <si>
    <t>咨询短视频平台</t>
    <phoneticPr fontId="1" type="noConversion"/>
  </si>
  <si>
    <t>其他短视频平台</t>
    <phoneticPr fontId="1" type="noConversion"/>
  </si>
  <si>
    <t>社交平台</t>
    <phoneticPr fontId="1" type="noConversion"/>
  </si>
  <si>
    <t>聚合咨询平台</t>
    <phoneticPr fontId="1" type="noConversion"/>
  </si>
  <si>
    <t>传统媒体平台</t>
    <phoneticPr fontId="1" type="noConversion"/>
  </si>
  <si>
    <t>网络视频平台</t>
    <phoneticPr fontId="1" type="noConversion"/>
  </si>
  <si>
    <t>垂直资讯平台</t>
    <phoneticPr fontId="1" type="noConversion"/>
  </si>
  <si>
    <t>其他平台</t>
    <phoneticPr fontId="1" type="noConversion"/>
  </si>
  <si>
    <t>2020年中国资讯短视频用户观看渠道偏好</t>
    <phoneticPr fontId="1" type="noConversion"/>
  </si>
  <si>
    <t>使用该渠道观看过</t>
    <phoneticPr fontId="1" type="noConversion"/>
  </si>
  <si>
    <t>最常使用的渠道</t>
    <phoneticPr fontId="1" type="noConversion"/>
  </si>
  <si>
    <t>辅助列</t>
    <phoneticPr fontId="1" type="noConversion"/>
  </si>
  <si>
    <t>访问网站</t>
    <phoneticPr fontId="1" type="noConversion"/>
  </si>
  <si>
    <t>下载产品</t>
    <phoneticPr fontId="1" type="noConversion"/>
  </si>
  <si>
    <t>询价</t>
    <phoneticPr fontId="1" type="noConversion"/>
  </si>
  <si>
    <t>发送合同</t>
    <phoneticPr fontId="1" type="noConversion"/>
  </si>
  <si>
    <t>成交</t>
    <phoneticPr fontId="1" type="noConversion"/>
  </si>
  <si>
    <t>销售步骤</t>
    <phoneticPr fontId="1" type="noConversion"/>
  </si>
  <si>
    <t>总投资次数（次）</t>
    <phoneticPr fontId="1" type="noConversion"/>
  </si>
  <si>
    <t>2014-2019年直播行业融资情况</t>
    <phoneticPr fontId="1" type="noConversion"/>
  </si>
  <si>
    <t>某平台销售情况</t>
    <phoneticPr fontId="1" type="noConversion"/>
  </si>
  <si>
    <t>用户规模（万）</t>
    <phoneticPr fontId="1" type="noConversion"/>
  </si>
  <si>
    <t>网民使用率（百分比）</t>
    <phoneticPr fontId="1" type="noConversion"/>
  </si>
  <si>
    <t>新闻</t>
    <phoneticPr fontId="1" type="noConversion"/>
  </si>
  <si>
    <t>B站</t>
    <phoneticPr fontId="1" type="noConversion"/>
  </si>
  <si>
    <t>巨人网络</t>
    <phoneticPr fontId="1" type="noConversion"/>
  </si>
  <si>
    <t>宝通科技</t>
    <phoneticPr fontId="1" type="noConversion"/>
  </si>
  <si>
    <t>掌趣科技</t>
    <phoneticPr fontId="1" type="noConversion"/>
  </si>
  <si>
    <t>总收入（亿元）</t>
    <phoneticPr fontId="1" type="noConversion"/>
  </si>
  <si>
    <t>收入（亿元）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</si>
</sst>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华文楷体"/>
      <family val="3"/>
      <charset val="134"/>
    </font>
    <font>
      <b/>
      <sz val="11"/>
      <color theme="1"/>
      <name val="华文楷体"/>
      <family val="3"/>
      <charset val="134"/>
    </font>
    <font>
      <b/>
      <sz val="14"/>
      <color theme="1"/>
      <name val="华文楷体"/>
      <family val="3"/>
      <charset val="134"/>
    </font>
    <font>
      <b/>
      <sz val="16"/>
      <color theme="1"/>
      <name val="华文楷体"/>
      <family val="3"/>
      <charset val="134"/>
    </font>
    <font>
      <sz val="10"/>
      <color theme="1"/>
      <name val="Courier New"/>
      <family val="3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57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0" fontId="2" fillId="0" borderId="1" xfId="0" applyNumberFormat="1" applyFont="1" applyBorder="1">
      <alignment vertical="center"/>
    </xf>
    <xf numFmtId="0" fontId="0" fillId="0" borderId="3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常规" xfId="0" builtinId="0"/>
    <cellStyle name="常规 2" xfId="1" xr:uid="{C1A13B7C-A843-4472-ACF4-CF8F7D6F82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N18" sqref="N18"/>
    </sheetView>
  </sheetViews>
  <sheetFormatPr defaultColWidth="9" defaultRowHeight="15.5" x14ac:dyDescent="0.25"/>
  <cols>
    <col min="1" max="1" width="11" style="1" customWidth="1"/>
    <col min="2" max="2" width="11.6328125" style="1" customWidth="1"/>
    <col min="3" max="3" width="11.90625" style="1" customWidth="1"/>
    <col min="4" max="4" width="11.6328125" style="1" customWidth="1"/>
    <col min="5" max="16384" width="9" style="1"/>
  </cols>
  <sheetData>
    <row r="1" spans="1:4" ht="27.75" customHeight="1" x14ac:dyDescent="0.25">
      <c r="A1" s="14" t="s">
        <v>22</v>
      </c>
      <c r="B1" s="14"/>
      <c r="C1" s="14"/>
      <c r="D1" s="14"/>
    </row>
    <row r="2" spans="1:4" ht="21" customHeight="1" x14ac:dyDescent="0.25">
      <c r="A2" s="2"/>
      <c r="B2" s="2" t="s">
        <v>17</v>
      </c>
      <c r="C2" s="2" t="s">
        <v>18</v>
      </c>
      <c r="D2" s="2" t="s">
        <v>19</v>
      </c>
    </row>
    <row r="3" spans="1:4" ht="21" customHeight="1" x14ac:dyDescent="0.25">
      <c r="A3" s="2" t="s">
        <v>13</v>
      </c>
      <c r="B3" s="2">
        <v>301.19</v>
      </c>
      <c r="C3" s="2">
        <v>419.54</v>
      </c>
      <c r="D3" s="2">
        <v>413</v>
      </c>
    </row>
    <row r="4" spans="1:4" ht="21" customHeight="1" x14ac:dyDescent="0.25">
      <c r="A4" s="2" t="s">
        <v>14</v>
      </c>
      <c r="B4" s="2">
        <v>81.44</v>
      </c>
      <c r="C4" s="2">
        <v>110.77</v>
      </c>
      <c r="D4" s="2">
        <v>99.86</v>
      </c>
    </row>
    <row r="5" spans="1:4" ht="21" customHeight="1" x14ac:dyDescent="0.25">
      <c r="A5" s="2" t="s">
        <v>15</v>
      </c>
      <c r="B5" s="2">
        <v>133.77000000000001</v>
      </c>
      <c r="C5" s="2">
        <v>164.09</v>
      </c>
      <c r="D5" s="2">
        <v>183.66</v>
      </c>
    </row>
    <row r="6" spans="1:4" ht="21" customHeight="1" x14ac:dyDescent="0.25">
      <c r="A6" s="2" t="s">
        <v>16</v>
      </c>
      <c r="B6" s="2">
        <v>176.77</v>
      </c>
      <c r="C6" s="2">
        <v>192.37</v>
      </c>
      <c r="D6" s="2">
        <v>204.34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N18" sqref="N18"/>
    </sheetView>
  </sheetViews>
  <sheetFormatPr defaultColWidth="9" defaultRowHeight="23.25" customHeight="1" x14ac:dyDescent="0.25"/>
  <cols>
    <col min="1" max="1" width="13.36328125" style="4" customWidth="1"/>
    <col min="2" max="2" width="12.36328125" style="4" customWidth="1"/>
    <col min="3" max="3" width="16.26953125" style="4" customWidth="1"/>
    <col min="4" max="16384" width="9" style="4"/>
  </cols>
  <sheetData>
    <row r="1" spans="1:4" ht="23.25" customHeight="1" x14ac:dyDescent="0.25">
      <c r="A1" s="14" t="s">
        <v>64</v>
      </c>
      <c r="B1" s="14"/>
      <c r="C1" s="14"/>
    </row>
    <row r="2" spans="1:4" ht="23.25" customHeight="1" x14ac:dyDescent="0.25">
      <c r="A2" s="7" t="s">
        <v>11</v>
      </c>
      <c r="B2" s="7" t="s">
        <v>23</v>
      </c>
      <c r="C2" s="7" t="s">
        <v>1</v>
      </c>
    </row>
    <row r="3" spans="1:4" ht="23.25" customHeight="1" x14ac:dyDescent="0.25">
      <c r="A3" s="2" t="s">
        <v>3</v>
      </c>
      <c r="B3" s="2">
        <v>1567.8</v>
      </c>
      <c r="C3" s="5">
        <f>B3/SUM($B$3:$B$11)</f>
        <v>0.36152746391182028</v>
      </c>
    </row>
    <row r="4" spans="1:4" ht="23.25" customHeight="1" x14ac:dyDescent="0.25">
      <c r="A4" s="2" t="s">
        <v>4</v>
      </c>
      <c r="B4" s="2">
        <v>624.5</v>
      </c>
      <c r="C4" s="5">
        <f t="shared" ref="C4:C11" si="0">B4/SUM($B$3:$B$11)</f>
        <v>0.14400682562376055</v>
      </c>
    </row>
    <row r="5" spans="1:4" ht="23.25" customHeight="1" x14ac:dyDescent="0.25">
      <c r="A5" s="2" t="s">
        <v>5</v>
      </c>
      <c r="B5" s="2">
        <v>545.9</v>
      </c>
      <c r="C5" s="5">
        <f t="shared" si="0"/>
        <v>0.1258820273947332</v>
      </c>
    </row>
    <row r="6" spans="1:4" ht="23.25" customHeight="1" x14ac:dyDescent="0.25">
      <c r="A6" s="2" t="s">
        <v>12</v>
      </c>
      <c r="B6" s="2">
        <v>515.29999999999995</v>
      </c>
      <c r="C6" s="5">
        <f t="shared" si="0"/>
        <v>0.11882580823686757</v>
      </c>
    </row>
    <row r="7" spans="1:4" ht="23.25" customHeight="1" x14ac:dyDescent="0.25">
      <c r="A7" s="2" t="s">
        <v>6</v>
      </c>
      <c r="B7" s="2">
        <v>432.3</v>
      </c>
      <c r="C7" s="5">
        <f t="shared" si="0"/>
        <v>9.9686390259650412E-2</v>
      </c>
    </row>
    <row r="8" spans="1:4" ht="23.25" customHeight="1" x14ac:dyDescent="0.25">
      <c r="A8" s="2" t="s">
        <v>7</v>
      </c>
      <c r="B8" s="2">
        <v>187.8</v>
      </c>
      <c r="C8" s="5">
        <f t="shared" si="0"/>
        <v>4.3305815615920305E-2</v>
      </c>
    </row>
    <row r="9" spans="1:4" ht="23.25" customHeight="1" x14ac:dyDescent="0.25">
      <c r="A9" s="2" t="s">
        <v>8</v>
      </c>
      <c r="B9" s="2">
        <v>96.1</v>
      </c>
      <c r="C9" s="5">
        <f t="shared" si="0"/>
        <v>2.2160217682055065E-2</v>
      </c>
    </row>
    <row r="10" spans="1:4" ht="23.25" customHeight="1" x14ac:dyDescent="0.25">
      <c r="A10" s="2" t="s">
        <v>9</v>
      </c>
      <c r="B10" s="2">
        <v>56.8</v>
      </c>
      <c r="C10" s="5">
        <f t="shared" si="0"/>
        <v>1.309781856754139E-2</v>
      </c>
    </row>
    <row r="11" spans="1:4" ht="23.25" customHeight="1" x14ac:dyDescent="0.25">
      <c r="A11" s="2" t="s">
        <v>10</v>
      </c>
      <c r="B11" s="2">
        <v>310.10000000000002</v>
      </c>
      <c r="C11" s="5">
        <f t="shared" si="0"/>
        <v>7.1507632707651161E-2</v>
      </c>
    </row>
    <row r="13" spans="1:4" ht="23.25" customHeight="1" x14ac:dyDescent="0.25">
      <c r="D13" s="8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L18" sqref="L18"/>
    </sheetView>
  </sheetViews>
  <sheetFormatPr defaultColWidth="9" defaultRowHeight="15.5" x14ac:dyDescent="0.25"/>
  <cols>
    <col min="1" max="1" width="10.08984375" style="1" customWidth="1"/>
    <col min="2" max="2" width="15.08984375" style="1" customWidth="1"/>
    <col min="3" max="3" width="13.36328125" style="1" customWidth="1"/>
    <col min="4" max="16384" width="9" style="1"/>
  </cols>
  <sheetData>
    <row r="1" spans="1:3" ht="28.5" customHeight="1" x14ac:dyDescent="0.25">
      <c r="A1" s="15" t="s">
        <v>25</v>
      </c>
      <c r="B1" s="15"/>
      <c r="C1" s="15"/>
    </row>
    <row r="2" spans="1:3" ht="21" customHeight="1" x14ac:dyDescent="0.25">
      <c r="A2" s="2" t="s">
        <v>2</v>
      </c>
      <c r="B2" s="2" t="s">
        <v>24</v>
      </c>
      <c r="C2" s="2" t="s">
        <v>26</v>
      </c>
    </row>
    <row r="3" spans="1:3" ht="21" customHeight="1" x14ac:dyDescent="0.25">
      <c r="A3" s="9">
        <v>42522</v>
      </c>
      <c r="B3" s="2">
        <v>3.25</v>
      </c>
      <c r="C3" s="10">
        <v>1.17</v>
      </c>
    </row>
    <row r="4" spans="1:3" ht="21" customHeight="1" x14ac:dyDescent="0.25">
      <c r="A4" s="9">
        <v>42705</v>
      </c>
      <c r="B4" s="2">
        <v>3.44</v>
      </c>
      <c r="C4" s="10">
        <v>1.46</v>
      </c>
    </row>
    <row r="5" spans="1:3" ht="21" customHeight="1" x14ac:dyDescent="0.25">
      <c r="A5" s="9">
        <v>42887</v>
      </c>
      <c r="B5" s="2">
        <v>3.43</v>
      </c>
      <c r="C5" s="10">
        <v>1.8</v>
      </c>
    </row>
    <row r="6" spans="1:3" x14ac:dyDescent="0.25">
      <c r="A6" s="9">
        <v>43070</v>
      </c>
      <c r="B6" s="2">
        <v>4.22</v>
      </c>
      <c r="C6" s="10">
        <v>2.2400000000000002</v>
      </c>
    </row>
    <row r="7" spans="1:3" x14ac:dyDescent="0.25">
      <c r="A7" s="9">
        <v>43252</v>
      </c>
      <c r="B7" s="2">
        <v>4.25</v>
      </c>
      <c r="C7" s="10">
        <v>2.15</v>
      </c>
    </row>
    <row r="8" spans="1:3" x14ac:dyDescent="0.25">
      <c r="A8" s="9">
        <v>43435</v>
      </c>
      <c r="B8" s="2">
        <v>3.97</v>
      </c>
      <c r="C8" s="10">
        <v>2.2999999999999998</v>
      </c>
    </row>
    <row r="9" spans="1:3" x14ac:dyDescent="0.25">
      <c r="A9" s="9">
        <v>43617</v>
      </c>
      <c r="B9" s="2">
        <v>4.33</v>
      </c>
      <c r="C9" s="10">
        <v>2.4300000000000002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sqref="A1:K3"/>
    </sheetView>
  </sheetViews>
  <sheetFormatPr defaultColWidth="9" defaultRowHeight="15.5" x14ac:dyDescent="0.25"/>
  <cols>
    <col min="1" max="1" width="10.90625" style="1" customWidth="1"/>
    <col min="2" max="6" width="7.453125" style="1" customWidth="1"/>
    <col min="7" max="16384" width="9" style="1"/>
  </cols>
  <sheetData>
    <row r="1" spans="1:11" ht="20.149999999999999" customHeight="1" x14ac:dyDescent="0.25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0.149999999999999" customHeight="1" x14ac:dyDescent="0.25">
      <c r="A2" s="2" t="s">
        <v>0</v>
      </c>
      <c r="B2" s="2">
        <v>2010</v>
      </c>
      <c r="C2" s="2">
        <v>2011</v>
      </c>
      <c r="D2" s="2">
        <v>2012</v>
      </c>
      <c r="E2" s="2">
        <v>2013</v>
      </c>
      <c r="F2" s="2">
        <v>2014</v>
      </c>
      <c r="G2" s="2">
        <v>2015</v>
      </c>
      <c r="H2" s="2">
        <v>2016</v>
      </c>
      <c r="I2" s="2">
        <v>2017</v>
      </c>
      <c r="J2" s="2">
        <v>2018</v>
      </c>
      <c r="K2" s="2">
        <v>2019</v>
      </c>
    </row>
    <row r="3" spans="1:11" ht="30" customHeight="1" x14ac:dyDescent="0.25">
      <c r="A3" s="3" t="s">
        <v>21</v>
      </c>
      <c r="B3" s="2">
        <v>70.2</v>
      </c>
      <c r="C3" s="2">
        <v>60.4</v>
      </c>
      <c r="D3" s="2">
        <v>47.6</v>
      </c>
      <c r="E3" s="2">
        <v>45.85</v>
      </c>
      <c r="F3" s="2">
        <v>51.7</v>
      </c>
      <c r="G3" s="2">
        <v>35.299999999999997</v>
      </c>
      <c r="H3" s="2">
        <v>29.87</v>
      </c>
      <c r="I3" s="2">
        <v>29.06</v>
      </c>
      <c r="J3" s="2">
        <v>24.21</v>
      </c>
      <c r="K3" s="2">
        <v>18.22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N21" sqref="N21"/>
    </sheetView>
  </sheetViews>
  <sheetFormatPr defaultColWidth="9" defaultRowHeight="18" customHeight="1" x14ac:dyDescent="0.25"/>
  <cols>
    <col min="1" max="1" width="13.7265625" style="4" customWidth="1"/>
    <col min="2" max="2" width="24.08984375" style="4" customWidth="1"/>
    <col min="3" max="3" width="17.36328125" style="4" customWidth="1"/>
    <col min="4" max="16384" width="9" style="4"/>
  </cols>
  <sheetData>
    <row r="1" spans="1:3" ht="23.25" customHeight="1" x14ac:dyDescent="0.25">
      <c r="A1" s="15" t="s">
        <v>35</v>
      </c>
      <c r="B1" s="15"/>
      <c r="C1" s="15"/>
    </row>
    <row r="2" spans="1:3" ht="18" customHeight="1" x14ac:dyDescent="0.25">
      <c r="A2" s="2" t="s">
        <v>0</v>
      </c>
      <c r="B2" s="2" t="s">
        <v>33</v>
      </c>
      <c r="C2" s="2" t="s">
        <v>34</v>
      </c>
    </row>
    <row r="3" spans="1:3" ht="18" customHeight="1" x14ac:dyDescent="0.25">
      <c r="A3" s="2" t="s">
        <v>27</v>
      </c>
      <c r="B3" s="2">
        <v>36.1</v>
      </c>
      <c r="C3" s="2">
        <f>AVERAGE($B$2:$B$8)</f>
        <v>110.56666666666666</v>
      </c>
    </row>
    <row r="4" spans="1:3" ht="18" customHeight="1" x14ac:dyDescent="0.25">
      <c r="A4" s="2" t="s">
        <v>28</v>
      </c>
      <c r="B4" s="2">
        <v>69.8</v>
      </c>
      <c r="C4" s="2">
        <f t="shared" ref="C4:C8" si="0">AVERAGE($B$2:$B$8)</f>
        <v>110.56666666666666</v>
      </c>
    </row>
    <row r="5" spans="1:3" ht="18" customHeight="1" x14ac:dyDescent="0.25">
      <c r="A5" s="2" t="s">
        <v>29</v>
      </c>
      <c r="B5" s="2">
        <v>188.1</v>
      </c>
      <c r="C5" s="2">
        <f t="shared" si="0"/>
        <v>110.56666666666666</v>
      </c>
    </row>
    <row r="6" spans="1:3" ht="18" customHeight="1" x14ac:dyDescent="0.25">
      <c r="A6" s="2" t="s">
        <v>30</v>
      </c>
      <c r="B6" s="2">
        <v>140.19999999999999</v>
      </c>
      <c r="C6" s="2">
        <f t="shared" si="0"/>
        <v>110.56666666666666</v>
      </c>
    </row>
    <row r="7" spans="1:3" ht="18" customHeight="1" x14ac:dyDescent="0.25">
      <c r="A7" s="2" t="s">
        <v>31</v>
      </c>
      <c r="B7" s="2">
        <v>224.4</v>
      </c>
      <c r="C7" s="2">
        <f t="shared" si="0"/>
        <v>110.56666666666666</v>
      </c>
    </row>
    <row r="8" spans="1:3" ht="18" customHeight="1" x14ac:dyDescent="0.25">
      <c r="A8" s="2" t="s">
        <v>32</v>
      </c>
      <c r="B8" s="2">
        <v>4.8</v>
      </c>
      <c r="C8" s="2">
        <f t="shared" si="0"/>
        <v>110.56666666666666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J15" sqref="J15"/>
    </sheetView>
  </sheetViews>
  <sheetFormatPr defaultColWidth="9" defaultRowHeight="15.5" x14ac:dyDescent="0.25"/>
  <cols>
    <col min="1" max="1" width="9" style="1"/>
    <col min="2" max="2" width="15.6328125" style="1" customWidth="1"/>
    <col min="3" max="3" width="20.81640625" style="1" customWidth="1"/>
    <col min="4" max="16384" width="9" style="1"/>
  </cols>
  <sheetData>
    <row r="1" spans="1:5" ht="26.25" customHeight="1" x14ac:dyDescent="0.25">
      <c r="A1" s="14" t="s">
        <v>44</v>
      </c>
      <c r="B1" s="14"/>
      <c r="C1" s="14"/>
      <c r="D1" s="11"/>
      <c r="E1" s="11"/>
    </row>
    <row r="2" spans="1:5" ht="26.25" customHeight="1" x14ac:dyDescent="0.25">
      <c r="A2" s="2" t="s">
        <v>36</v>
      </c>
      <c r="B2" s="2" t="s">
        <v>92</v>
      </c>
      <c r="C2" s="2" t="s">
        <v>93</v>
      </c>
    </row>
    <row r="3" spans="1:5" ht="26.25" customHeight="1" x14ac:dyDescent="0.25">
      <c r="A3" s="2" t="s">
        <v>37</v>
      </c>
      <c r="B3" s="2">
        <v>69470</v>
      </c>
      <c r="C3" s="2">
        <v>81.3</v>
      </c>
    </row>
    <row r="4" spans="1:5" ht="26.25" customHeight="1" x14ac:dyDescent="0.25">
      <c r="A4" s="2" t="s">
        <v>38</v>
      </c>
      <c r="B4" s="2">
        <v>68587</v>
      </c>
      <c r="C4" s="2">
        <v>80.3</v>
      </c>
    </row>
    <row r="5" spans="1:5" ht="26.25" customHeight="1" x14ac:dyDescent="0.25">
      <c r="A5" s="2" t="s">
        <v>39</v>
      </c>
      <c r="B5" s="2">
        <v>75877</v>
      </c>
      <c r="C5" s="2">
        <v>88.8</v>
      </c>
    </row>
    <row r="6" spans="1:5" ht="26.25" customHeight="1" x14ac:dyDescent="0.25">
      <c r="A6" s="2" t="s">
        <v>40</v>
      </c>
      <c r="B6" s="2">
        <v>60789</v>
      </c>
      <c r="C6" s="2">
        <v>71.099999999999994</v>
      </c>
    </row>
    <row r="7" spans="1:5" ht="26.25" customHeight="1" x14ac:dyDescent="0.25">
      <c r="A7" s="2" t="s">
        <v>41</v>
      </c>
      <c r="B7" s="2">
        <v>49356</v>
      </c>
      <c r="C7" s="2">
        <v>57.8</v>
      </c>
    </row>
    <row r="8" spans="1:5" ht="26.25" customHeight="1" x14ac:dyDescent="0.25">
      <c r="A8" s="2" t="s">
        <v>42</v>
      </c>
      <c r="B8" s="2">
        <v>64764</v>
      </c>
      <c r="C8" s="2">
        <v>75.8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activeCell="A2" sqref="A2:B8"/>
    </sheetView>
  </sheetViews>
  <sheetFormatPr defaultColWidth="9" defaultRowHeight="19.5" customHeight="1" x14ac:dyDescent="0.25"/>
  <cols>
    <col min="1" max="1" width="20.7265625" style="4" customWidth="1"/>
    <col min="2" max="2" width="27" style="4" customWidth="1"/>
    <col min="3" max="3" width="26.36328125" style="4" customWidth="1"/>
    <col min="4" max="16384" width="9" style="4"/>
  </cols>
  <sheetData>
    <row r="1" spans="1:5" ht="24.75" customHeight="1" x14ac:dyDescent="0.25">
      <c r="A1" s="16" t="s">
        <v>45</v>
      </c>
      <c r="B1" s="16"/>
      <c r="C1" s="16"/>
    </row>
    <row r="2" spans="1:5" ht="19.5" customHeight="1" x14ac:dyDescent="0.25">
      <c r="A2" s="6" t="s">
        <v>54</v>
      </c>
      <c r="B2" s="6" t="s">
        <v>46</v>
      </c>
      <c r="C2" s="6" t="s">
        <v>52</v>
      </c>
      <c r="D2" s="4" t="s">
        <v>53</v>
      </c>
      <c r="E2" s="4" t="s">
        <v>55</v>
      </c>
    </row>
    <row r="3" spans="1:5" ht="19.5" customHeight="1" x14ac:dyDescent="0.25">
      <c r="A3" s="2" t="s">
        <v>94</v>
      </c>
      <c r="B3" s="13">
        <v>1514407</v>
      </c>
      <c r="C3" s="13">
        <v>733067</v>
      </c>
      <c r="D3" s="4">
        <v>1</v>
      </c>
      <c r="E3" s="4">
        <v>1800000</v>
      </c>
    </row>
    <row r="4" spans="1:5" ht="19.5" customHeight="1" x14ac:dyDescent="0.25">
      <c r="A4" s="2" t="s">
        <v>47</v>
      </c>
      <c r="B4" s="13">
        <v>131829</v>
      </c>
      <c r="C4" s="13">
        <v>42497</v>
      </c>
      <c r="D4" s="4">
        <v>2</v>
      </c>
      <c r="E4" s="4">
        <v>1800000</v>
      </c>
    </row>
    <row r="5" spans="1:5" ht="19.5" customHeight="1" x14ac:dyDescent="0.25">
      <c r="A5" s="2" t="s">
        <v>48</v>
      </c>
      <c r="B5" s="13">
        <v>15988</v>
      </c>
      <c r="C5" s="13">
        <v>6990</v>
      </c>
      <c r="D5" s="4">
        <v>3</v>
      </c>
      <c r="E5" s="4">
        <v>1800000</v>
      </c>
    </row>
    <row r="6" spans="1:5" ht="19.5" customHeight="1" x14ac:dyDescent="0.25">
      <c r="A6" s="2" t="s">
        <v>49</v>
      </c>
      <c r="B6" s="13">
        <v>137470</v>
      </c>
      <c r="C6" s="13">
        <v>39212</v>
      </c>
      <c r="D6" s="4">
        <v>4</v>
      </c>
      <c r="E6" s="4">
        <v>1800000</v>
      </c>
    </row>
    <row r="7" spans="1:5" ht="19.5" customHeight="1" x14ac:dyDescent="0.25">
      <c r="A7" s="2" t="s">
        <v>51</v>
      </c>
      <c r="B7" s="13">
        <v>712460</v>
      </c>
      <c r="C7" s="13">
        <v>94714</v>
      </c>
      <c r="D7" s="4">
        <v>5</v>
      </c>
      <c r="E7" s="4">
        <v>1800000</v>
      </c>
    </row>
    <row r="8" spans="1:5" ht="19.5" customHeight="1" x14ac:dyDescent="0.25">
      <c r="A8" s="2" t="s">
        <v>50</v>
      </c>
      <c r="B8" s="13">
        <v>5895</v>
      </c>
      <c r="C8" s="13">
        <v>3180</v>
      </c>
      <c r="D8" s="4">
        <v>6</v>
      </c>
      <c r="E8" s="4">
        <v>1800000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selection sqref="A1:B13"/>
    </sheetView>
  </sheetViews>
  <sheetFormatPr defaultColWidth="9" defaultRowHeight="15.5" x14ac:dyDescent="0.25"/>
  <cols>
    <col min="1" max="1" width="17" style="4" customWidth="1"/>
    <col min="2" max="2" width="32.7265625" style="4" customWidth="1"/>
    <col min="3" max="5" width="7.26953125" style="4" customWidth="1"/>
    <col min="6" max="16384" width="9" style="4"/>
  </cols>
  <sheetData>
    <row r="1" spans="1:5" ht="26.25" customHeight="1" x14ac:dyDescent="0.25">
      <c r="A1" s="14" t="s">
        <v>63</v>
      </c>
      <c r="B1" s="14"/>
      <c r="C1" s="11"/>
      <c r="D1" s="11"/>
      <c r="E1" s="11"/>
    </row>
    <row r="2" spans="1:5" ht="20.25" customHeight="1" x14ac:dyDescent="0.25">
      <c r="A2" s="6" t="s">
        <v>56</v>
      </c>
      <c r="B2" s="6" t="s">
        <v>99</v>
      </c>
      <c r="C2" s="4" t="s">
        <v>82</v>
      </c>
    </row>
    <row r="3" spans="1:5" ht="20.25" customHeight="1" x14ac:dyDescent="0.25">
      <c r="A3" s="2" t="s">
        <v>98</v>
      </c>
      <c r="B3" s="13">
        <v>16.13</v>
      </c>
      <c r="C3" s="4">
        <v>16.13</v>
      </c>
    </row>
    <row r="4" spans="1:5" ht="20.25" customHeight="1" x14ac:dyDescent="0.25">
      <c r="A4" s="2" t="s">
        <v>97</v>
      </c>
      <c r="B4" s="13">
        <v>24.6</v>
      </c>
      <c r="C4" s="4">
        <f>B4-B3</f>
        <v>8.4700000000000024</v>
      </c>
    </row>
    <row r="5" spans="1:5" ht="20.25" customHeight="1" x14ac:dyDescent="0.25">
      <c r="A5" s="2" t="s">
        <v>96</v>
      </c>
      <c r="B5" s="13">
        <v>25.7</v>
      </c>
      <c r="C5" s="4">
        <f t="shared" ref="C5:C13" si="0">B5-B4</f>
        <v>1.0999999999999979</v>
      </c>
    </row>
    <row r="6" spans="1:5" ht="20.25" customHeight="1" x14ac:dyDescent="0.25">
      <c r="A6" s="2" t="s">
        <v>95</v>
      </c>
      <c r="B6" s="13">
        <v>27.2</v>
      </c>
      <c r="C6" s="4">
        <f t="shared" si="0"/>
        <v>1.5</v>
      </c>
    </row>
    <row r="7" spans="1:5" ht="20.25" customHeight="1" x14ac:dyDescent="0.25">
      <c r="A7" s="2" t="s">
        <v>62</v>
      </c>
      <c r="B7" s="13">
        <v>35.159999999999997</v>
      </c>
      <c r="C7" s="4">
        <f t="shared" si="0"/>
        <v>7.9599999999999973</v>
      </c>
    </row>
    <row r="8" spans="1:5" ht="20.25" customHeight="1" x14ac:dyDescent="0.25">
      <c r="A8" s="2" t="s">
        <v>61</v>
      </c>
      <c r="B8" s="13">
        <v>36.9</v>
      </c>
      <c r="C8" s="4">
        <f t="shared" si="0"/>
        <v>1.740000000000002</v>
      </c>
    </row>
    <row r="9" spans="1:5" ht="20.25" customHeight="1" x14ac:dyDescent="0.25">
      <c r="A9" s="2" t="s">
        <v>60</v>
      </c>
      <c r="B9" s="13">
        <v>68.3</v>
      </c>
      <c r="C9" s="4">
        <f t="shared" si="0"/>
        <v>31.4</v>
      </c>
    </row>
    <row r="10" spans="1:5" ht="20.25" customHeight="1" x14ac:dyDescent="0.25">
      <c r="A10" s="2" t="s">
        <v>59</v>
      </c>
      <c r="B10" s="13">
        <v>132.26</v>
      </c>
      <c r="C10" s="4">
        <f t="shared" si="0"/>
        <v>63.959999999999994</v>
      </c>
    </row>
    <row r="11" spans="1:5" ht="20.25" customHeight="1" x14ac:dyDescent="0.25">
      <c r="A11" s="2" t="s">
        <v>58</v>
      </c>
      <c r="B11" s="13">
        <v>151.1</v>
      </c>
      <c r="C11" s="4">
        <f t="shared" si="0"/>
        <v>18.840000000000003</v>
      </c>
    </row>
    <row r="12" spans="1:5" ht="20.25" customHeight="1" x14ac:dyDescent="0.25">
      <c r="A12" s="2" t="s">
        <v>57</v>
      </c>
      <c r="B12" s="13">
        <v>464.18</v>
      </c>
      <c r="C12" s="4">
        <f t="shared" si="0"/>
        <v>313.08000000000004</v>
      </c>
    </row>
    <row r="13" spans="1:5" ht="20.25" customHeight="1" x14ac:dyDescent="0.25">
      <c r="A13" s="2" t="s">
        <v>15</v>
      </c>
      <c r="B13" s="13">
        <v>844.73</v>
      </c>
      <c r="C13" s="4">
        <f t="shared" si="0"/>
        <v>380.55</v>
      </c>
    </row>
  </sheetData>
  <sortState xmlns:xlrd2="http://schemas.microsoft.com/office/spreadsheetml/2017/richdata2" ref="A3:B13">
    <sortCondition ref="B3:B13"/>
  </sortState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>
      <selection activeCell="L20" sqref="L20"/>
    </sheetView>
  </sheetViews>
  <sheetFormatPr defaultColWidth="9" defaultRowHeight="15.5" x14ac:dyDescent="0.25"/>
  <cols>
    <col min="1" max="1" width="14.453125" style="1" customWidth="1"/>
    <col min="2" max="3" width="20.08984375" style="1" customWidth="1"/>
    <col min="4" max="4" width="13.453125" style="1" customWidth="1"/>
    <col min="5" max="6" width="9.36328125" style="1" customWidth="1"/>
    <col min="7" max="16384" width="9" style="1"/>
  </cols>
  <sheetData>
    <row r="1" spans="1:4" ht="22.5" customHeight="1" x14ac:dyDescent="0.25">
      <c r="A1" s="17" t="s">
        <v>65</v>
      </c>
      <c r="B1" s="17"/>
      <c r="C1" s="17"/>
      <c r="D1" s="17"/>
    </row>
    <row r="2" spans="1:4" ht="20" x14ac:dyDescent="0.25">
      <c r="A2" s="7" t="s">
        <v>11</v>
      </c>
      <c r="B2" s="7" t="s">
        <v>100</v>
      </c>
      <c r="C2" s="7" t="s">
        <v>67</v>
      </c>
      <c r="D2" s="7" t="s">
        <v>66</v>
      </c>
    </row>
    <row r="3" spans="1:4" x14ac:dyDescent="0.25">
      <c r="A3" s="2" t="s">
        <v>3</v>
      </c>
      <c r="B3" s="2">
        <v>1567.8</v>
      </c>
      <c r="C3" s="5">
        <f t="shared" ref="C3:C11" si="0">B3/SUM($B$3:$B$11)</f>
        <v>0.36152746391182028</v>
      </c>
      <c r="D3" s="12">
        <f>SUM($C$3:C3)</f>
        <v>0.36152746391182028</v>
      </c>
    </row>
    <row r="4" spans="1:4" x14ac:dyDescent="0.25">
      <c r="A4" s="2" t="s">
        <v>4</v>
      </c>
      <c r="B4" s="2">
        <v>624.5</v>
      </c>
      <c r="C4" s="5">
        <f t="shared" si="0"/>
        <v>0.14400682562376055</v>
      </c>
      <c r="D4" s="12">
        <f>SUM($C$3:C4)</f>
        <v>0.50553428953558077</v>
      </c>
    </row>
    <row r="5" spans="1:4" x14ac:dyDescent="0.25">
      <c r="A5" s="2" t="s">
        <v>5</v>
      </c>
      <c r="B5" s="2">
        <v>545.9</v>
      </c>
      <c r="C5" s="5">
        <f t="shared" si="0"/>
        <v>0.1258820273947332</v>
      </c>
      <c r="D5" s="12">
        <f>SUM($C$3:C5)</f>
        <v>0.63141631693031397</v>
      </c>
    </row>
    <row r="6" spans="1:4" x14ac:dyDescent="0.25">
      <c r="A6" s="2" t="s">
        <v>12</v>
      </c>
      <c r="B6" s="2">
        <v>515.29999999999995</v>
      </c>
      <c r="C6" s="5">
        <f t="shared" si="0"/>
        <v>0.11882580823686757</v>
      </c>
      <c r="D6" s="12">
        <f>SUM($C$3:C6)</f>
        <v>0.75024212516718158</v>
      </c>
    </row>
    <row r="7" spans="1:4" x14ac:dyDescent="0.25">
      <c r="A7" s="2" t="s">
        <v>6</v>
      </c>
      <c r="B7" s="2">
        <v>432.3</v>
      </c>
      <c r="C7" s="5">
        <f t="shared" si="0"/>
        <v>9.9686390259650412E-2</v>
      </c>
      <c r="D7" s="12">
        <f>SUM($C$3:C7)</f>
        <v>0.84992851542683201</v>
      </c>
    </row>
    <row r="8" spans="1:4" x14ac:dyDescent="0.25">
      <c r="A8" s="2" t="s">
        <v>10</v>
      </c>
      <c r="B8" s="2">
        <v>310.10000000000002</v>
      </c>
      <c r="C8" s="5">
        <f t="shared" si="0"/>
        <v>7.1507632707651161E-2</v>
      </c>
      <c r="D8" s="12">
        <f>SUM($C$3:C8)</f>
        <v>0.92143614813448316</v>
      </c>
    </row>
    <row r="9" spans="1:4" x14ac:dyDescent="0.25">
      <c r="A9" s="2" t="s">
        <v>7</v>
      </c>
      <c r="B9" s="2">
        <v>187.8</v>
      </c>
      <c r="C9" s="5">
        <f t="shared" si="0"/>
        <v>4.3305815615920305E-2</v>
      </c>
      <c r="D9" s="12">
        <f>SUM($C$3:C9)</f>
        <v>0.96474196375040344</v>
      </c>
    </row>
    <row r="10" spans="1:4" x14ac:dyDescent="0.25">
      <c r="A10" s="2" t="s">
        <v>8</v>
      </c>
      <c r="B10" s="2">
        <v>96.1</v>
      </c>
      <c r="C10" s="5">
        <f t="shared" si="0"/>
        <v>2.2160217682055065E-2</v>
      </c>
      <c r="D10" s="12">
        <f>SUM($C$3:C10)</f>
        <v>0.98690218143245856</v>
      </c>
    </row>
    <row r="11" spans="1:4" x14ac:dyDescent="0.25">
      <c r="A11" s="2" t="s">
        <v>9</v>
      </c>
      <c r="B11" s="2">
        <v>56.8</v>
      </c>
      <c r="C11" s="5">
        <f t="shared" si="0"/>
        <v>1.309781856754139E-2</v>
      </c>
      <c r="D11" s="12">
        <f>SUM($C$3:C11)</f>
        <v>1</v>
      </c>
    </row>
  </sheetData>
  <sortState xmlns:xlrd2="http://schemas.microsoft.com/office/spreadsheetml/2017/richdata2" ref="A3:D11">
    <sortCondition descending="1" ref="B3:B11"/>
  </sortState>
  <mergeCells count="1">
    <mergeCell ref="A1:D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>
      <selection sqref="A1:D1"/>
    </sheetView>
  </sheetViews>
  <sheetFormatPr defaultColWidth="9" defaultRowHeight="15.5" x14ac:dyDescent="0.25"/>
  <cols>
    <col min="1" max="1" width="26.7265625" style="1" customWidth="1"/>
    <col min="2" max="3" width="19.453125" style="1" customWidth="1"/>
    <col min="4" max="4" width="17.7265625" style="1" customWidth="1"/>
    <col min="5" max="16384" width="9" style="1"/>
  </cols>
  <sheetData>
    <row r="1" spans="1:4" ht="29.25" customHeight="1" x14ac:dyDescent="0.25">
      <c r="A1" s="14" t="s">
        <v>79</v>
      </c>
      <c r="B1" s="14"/>
      <c r="C1" s="14"/>
      <c r="D1" s="14"/>
    </row>
    <row r="2" spans="1:4" ht="21" customHeight="1" x14ac:dyDescent="0.25">
      <c r="A2" s="6" t="s">
        <v>68</v>
      </c>
      <c r="B2" s="6" t="s">
        <v>80</v>
      </c>
      <c r="C2" s="6" t="s">
        <v>82</v>
      </c>
      <c r="D2" s="6" t="s">
        <v>81</v>
      </c>
    </row>
    <row r="3" spans="1:4" ht="24" customHeight="1" x14ac:dyDescent="0.25">
      <c r="A3" s="2" t="s">
        <v>72</v>
      </c>
      <c r="B3" s="2">
        <v>-1377</v>
      </c>
      <c r="C3" s="2">
        <v>1000</v>
      </c>
      <c r="D3" s="2">
        <v>734</v>
      </c>
    </row>
    <row r="4" spans="1:4" ht="24" customHeight="1" x14ac:dyDescent="0.25">
      <c r="A4" s="2" t="s">
        <v>71</v>
      </c>
      <c r="B4" s="2">
        <v>-1253</v>
      </c>
      <c r="C4" s="2">
        <v>1000</v>
      </c>
      <c r="D4" s="2">
        <v>327</v>
      </c>
    </row>
    <row r="5" spans="1:4" ht="24" customHeight="1" x14ac:dyDescent="0.25">
      <c r="A5" s="2" t="s">
        <v>70</v>
      </c>
      <c r="B5" s="2">
        <v>-1246</v>
      </c>
      <c r="C5" s="2">
        <v>1000</v>
      </c>
      <c r="D5" s="2">
        <v>283</v>
      </c>
    </row>
    <row r="6" spans="1:4" ht="24" customHeight="1" x14ac:dyDescent="0.25">
      <c r="A6" s="2" t="s">
        <v>69</v>
      </c>
      <c r="B6" s="2">
        <v>-1216</v>
      </c>
      <c r="C6" s="2">
        <v>1000</v>
      </c>
      <c r="D6" s="2">
        <v>165</v>
      </c>
    </row>
    <row r="7" spans="1:4" ht="24" customHeight="1" x14ac:dyDescent="0.25">
      <c r="A7" s="2" t="s">
        <v>73</v>
      </c>
      <c r="B7" s="2">
        <v>-1197</v>
      </c>
      <c r="C7" s="2">
        <v>1000</v>
      </c>
      <c r="D7" s="2">
        <v>218</v>
      </c>
    </row>
    <row r="8" spans="1:4" ht="24" customHeight="1" x14ac:dyDescent="0.25">
      <c r="A8" s="2" t="s">
        <v>74</v>
      </c>
      <c r="B8" s="2">
        <v>-1146</v>
      </c>
      <c r="C8" s="2">
        <v>1000</v>
      </c>
      <c r="D8" s="2">
        <v>291</v>
      </c>
    </row>
    <row r="9" spans="1:4" ht="24" customHeight="1" x14ac:dyDescent="0.25">
      <c r="A9" s="2" t="s">
        <v>75</v>
      </c>
      <c r="B9" s="2">
        <v>-1098</v>
      </c>
      <c r="C9" s="2">
        <v>1000</v>
      </c>
      <c r="D9" s="2">
        <v>155</v>
      </c>
    </row>
    <row r="10" spans="1:4" ht="24" customHeight="1" x14ac:dyDescent="0.25">
      <c r="A10" s="2" t="s">
        <v>76</v>
      </c>
      <c r="B10" s="2">
        <v>-1091</v>
      </c>
      <c r="C10" s="2">
        <v>1000</v>
      </c>
      <c r="D10" s="2">
        <v>159</v>
      </c>
    </row>
    <row r="11" spans="1:4" ht="24" customHeight="1" x14ac:dyDescent="0.25">
      <c r="A11" s="2" t="s">
        <v>77</v>
      </c>
      <c r="B11" s="2">
        <v>-534</v>
      </c>
      <c r="C11" s="2">
        <v>1000</v>
      </c>
      <c r="D11" s="2">
        <v>30</v>
      </c>
    </row>
    <row r="12" spans="1:4" ht="24" customHeight="1" x14ac:dyDescent="0.25">
      <c r="A12" s="2" t="s">
        <v>78</v>
      </c>
      <c r="B12" s="2">
        <v>-6</v>
      </c>
      <c r="C12" s="2">
        <v>1000</v>
      </c>
      <c r="D12" s="2">
        <v>4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>
      <selection activeCell="M25" sqref="M25"/>
    </sheetView>
  </sheetViews>
  <sheetFormatPr defaultRowHeight="14" x14ac:dyDescent="0.25"/>
  <cols>
    <col min="1" max="1" width="20.81640625" customWidth="1"/>
    <col min="2" max="2" width="18.453125" customWidth="1"/>
    <col min="3" max="3" width="29.54296875" customWidth="1"/>
  </cols>
  <sheetData>
    <row r="1" spans="1:3" ht="22.5" x14ac:dyDescent="0.25">
      <c r="A1" s="14" t="s">
        <v>79</v>
      </c>
      <c r="B1" s="14"/>
      <c r="C1" s="14"/>
    </row>
    <row r="2" spans="1:3" ht="15.5" x14ac:dyDescent="0.25">
      <c r="A2" s="6" t="s">
        <v>68</v>
      </c>
      <c r="B2" s="6" t="s">
        <v>80</v>
      </c>
      <c r="C2" s="6" t="s">
        <v>81</v>
      </c>
    </row>
    <row r="3" spans="1:3" ht="15.5" x14ac:dyDescent="0.25">
      <c r="A3" s="2" t="s">
        <v>72</v>
      </c>
      <c r="B3" s="2">
        <v>-1377</v>
      </c>
      <c r="C3" s="2">
        <v>734</v>
      </c>
    </row>
    <row r="4" spans="1:3" ht="15.5" x14ac:dyDescent="0.25">
      <c r="A4" s="2" t="s">
        <v>71</v>
      </c>
      <c r="B4" s="2">
        <v>-1253</v>
      </c>
      <c r="C4" s="2">
        <v>327</v>
      </c>
    </row>
    <row r="5" spans="1:3" ht="15.5" x14ac:dyDescent="0.25">
      <c r="A5" s="2" t="s">
        <v>70</v>
      </c>
      <c r="B5" s="2">
        <v>-1246</v>
      </c>
      <c r="C5" s="2">
        <v>283</v>
      </c>
    </row>
    <row r="6" spans="1:3" ht="15.5" x14ac:dyDescent="0.25">
      <c r="A6" s="2" t="s">
        <v>69</v>
      </c>
      <c r="B6" s="2">
        <v>-1216</v>
      </c>
      <c r="C6" s="2">
        <v>165</v>
      </c>
    </row>
    <row r="7" spans="1:3" ht="15.5" x14ac:dyDescent="0.25">
      <c r="A7" s="2" t="s">
        <v>73</v>
      </c>
      <c r="B7" s="2">
        <v>-1197</v>
      </c>
      <c r="C7" s="2">
        <v>218</v>
      </c>
    </row>
    <row r="8" spans="1:3" ht="15.5" x14ac:dyDescent="0.25">
      <c r="A8" s="2" t="s">
        <v>74</v>
      </c>
      <c r="B8" s="2">
        <v>-1146</v>
      </c>
      <c r="C8" s="2">
        <v>291</v>
      </c>
    </row>
    <row r="9" spans="1:3" ht="15.5" x14ac:dyDescent="0.25">
      <c r="A9" s="2" t="s">
        <v>75</v>
      </c>
      <c r="B9" s="2">
        <v>-1098</v>
      </c>
      <c r="C9" s="2">
        <v>155</v>
      </c>
    </row>
    <row r="10" spans="1:3" ht="15.5" x14ac:dyDescent="0.25">
      <c r="A10" s="2" t="s">
        <v>76</v>
      </c>
      <c r="B10" s="2">
        <v>-1091</v>
      </c>
      <c r="C10" s="2">
        <v>159</v>
      </c>
    </row>
    <row r="11" spans="1:3" ht="15.5" x14ac:dyDescent="0.25">
      <c r="A11" s="2" t="s">
        <v>77</v>
      </c>
      <c r="B11" s="2">
        <v>-534</v>
      </c>
      <c r="C11" s="2">
        <v>30</v>
      </c>
    </row>
    <row r="12" spans="1:3" ht="15.5" x14ac:dyDescent="0.25">
      <c r="A12" s="2" t="s">
        <v>78</v>
      </c>
      <c r="B12" s="2">
        <v>-6</v>
      </c>
      <c r="C12" s="2">
        <v>4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>
      <selection activeCell="T31" sqref="T31"/>
    </sheetView>
  </sheetViews>
  <sheetFormatPr defaultRowHeight="14" x14ac:dyDescent="0.25"/>
  <cols>
    <col min="1" max="1" width="16.08984375" customWidth="1"/>
    <col min="2" max="2" width="14.453125" customWidth="1"/>
  </cols>
  <sheetData>
    <row r="1" spans="1:2" ht="22.5" x14ac:dyDescent="0.25">
      <c r="A1" s="14" t="s">
        <v>91</v>
      </c>
      <c r="B1" s="14"/>
    </row>
    <row r="2" spans="1:2" ht="15.5" x14ac:dyDescent="0.25">
      <c r="A2" s="6" t="s">
        <v>88</v>
      </c>
      <c r="B2" s="6" t="s">
        <v>43</v>
      </c>
    </row>
    <row r="3" spans="1:2" ht="15.5" x14ac:dyDescent="0.25">
      <c r="A3" s="2" t="s">
        <v>83</v>
      </c>
      <c r="B3" s="2">
        <v>15667</v>
      </c>
    </row>
    <row r="4" spans="1:2" ht="15.5" x14ac:dyDescent="0.25">
      <c r="A4" s="2" t="s">
        <v>84</v>
      </c>
      <c r="B4" s="2">
        <v>4636</v>
      </c>
    </row>
    <row r="5" spans="1:2" ht="15.5" x14ac:dyDescent="0.25">
      <c r="A5" s="2" t="s">
        <v>85</v>
      </c>
      <c r="B5" s="2">
        <v>1468</v>
      </c>
    </row>
    <row r="6" spans="1:2" ht="15.5" x14ac:dyDescent="0.25">
      <c r="A6" s="2" t="s">
        <v>86</v>
      </c>
      <c r="B6" s="2">
        <v>976</v>
      </c>
    </row>
    <row r="7" spans="1:2" ht="15.5" x14ac:dyDescent="0.25">
      <c r="A7" s="2" t="s">
        <v>87</v>
      </c>
      <c r="B7" s="2">
        <v>846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>
      <selection activeCell="K5" sqref="K5"/>
    </sheetView>
  </sheetViews>
  <sheetFormatPr defaultRowHeight="14" x14ac:dyDescent="0.25"/>
  <cols>
    <col min="1" max="1" width="14.08984375" customWidth="1"/>
    <col min="2" max="2" width="14.7265625" customWidth="1"/>
  </cols>
  <sheetData>
    <row r="1" spans="1:2" ht="22.5" x14ac:dyDescent="0.25">
      <c r="A1" s="14" t="s">
        <v>44</v>
      </c>
      <c r="B1" s="14"/>
    </row>
    <row r="2" spans="1:2" ht="15.5" x14ac:dyDescent="0.25">
      <c r="A2" s="2" t="s">
        <v>36</v>
      </c>
      <c r="B2" s="2" t="s">
        <v>43</v>
      </c>
    </row>
    <row r="3" spans="1:2" ht="15.5" x14ac:dyDescent="0.25">
      <c r="A3" s="2" t="s">
        <v>37</v>
      </c>
      <c r="B3" s="2">
        <v>69470</v>
      </c>
    </row>
    <row r="4" spans="1:2" ht="15.5" x14ac:dyDescent="0.25">
      <c r="A4" s="2" t="s">
        <v>38</v>
      </c>
      <c r="B4" s="2">
        <v>68587</v>
      </c>
    </row>
    <row r="5" spans="1:2" ht="15.5" x14ac:dyDescent="0.25">
      <c r="A5" s="2" t="s">
        <v>39</v>
      </c>
      <c r="B5" s="2">
        <v>75877</v>
      </c>
    </row>
    <row r="6" spans="1:2" ht="15.5" x14ac:dyDescent="0.25">
      <c r="A6" s="2" t="s">
        <v>40</v>
      </c>
      <c r="B6" s="2">
        <v>60789</v>
      </c>
    </row>
    <row r="7" spans="1:2" ht="15.5" x14ac:dyDescent="0.25">
      <c r="A7" s="2" t="s">
        <v>41</v>
      </c>
      <c r="B7" s="2">
        <v>49356</v>
      </c>
    </row>
    <row r="8" spans="1:2" ht="15.5" x14ac:dyDescent="0.25">
      <c r="A8" s="2" t="s">
        <v>42</v>
      </c>
      <c r="B8" s="2">
        <v>64764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selection activeCell="L16" sqref="L16"/>
    </sheetView>
  </sheetViews>
  <sheetFormatPr defaultColWidth="9" defaultRowHeight="15.5" x14ac:dyDescent="0.25"/>
  <cols>
    <col min="1" max="1" width="20.26953125" style="1" customWidth="1"/>
    <col min="2" max="2" width="19.26953125" style="1" customWidth="1"/>
    <col min="3" max="3" width="17.1796875" style="1" customWidth="1"/>
    <col min="4" max="16384" width="9" style="1"/>
  </cols>
  <sheetData>
    <row r="1" spans="1:3" ht="22.5" customHeight="1" x14ac:dyDescent="0.25">
      <c r="A1" s="17" t="s">
        <v>90</v>
      </c>
      <c r="B1" s="17"/>
      <c r="C1" s="17"/>
    </row>
    <row r="2" spans="1:3" ht="18.75" customHeight="1" x14ac:dyDescent="0.25">
      <c r="A2" s="2" t="s">
        <v>0</v>
      </c>
      <c r="B2" s="2" t="s">
        <v>33</v>
      </c>
      <c r="C2" s="2" t="s">
        <v>89</v>
      </c>
    </row>
    <row r="3" spans="1:3" ht="18.75" customHeight="1" x14ac:dyDescent="0.25">
      <c r="A3" s="2" t="s">
        <v>27</v>
      </c>
      <c r="B3" s="2">
        <v>36.1</v>
      </c>
      <c r="C3" s="2">
        <v>63</v>
      </c>
    </row>
    <row r="4" spans="1:3" ht="18.75" customHeight="1" x14ac:dyDescent="0.25">
      <c r="A4" s="2" t="s">
        <v>28</v>
      </c>
      <c r="B4" s="2">
        <v>69.8</v>
      </c>
      <c r="C4" s="2">
        <v>127</v>
      </c>
    </row>
    <row r="5" spans="1:3" ht="18.75" customHeight="1" x14ac:dyDescent="0.25">
      <c r="A5" s="2" t="s">
        <v>29</v>
      </c>
      <c r="B5" s="2">
        <v>188.1</v>
      </c>
      <c r="C5" s="2">
        <v>201</v>
      </c>
    </row>
    <row r="6" spans="1:3" ht="18.75" customHeight="1" x14ac:dyDescent="0.25">
      <c r="A6" s="2" t="s">
        <v>30</v>
      </c>
      <c r="B6" s="2">
        <v>140.19999999999999</v>
      </c>
      <c r="C6" s="2">
        <v>140</v>
      </c>
    </row>
    <row r="7" spans="1:3" ht="18.75" customHeight="1" x14ac:dyDescent="0.25">
      <c r="A7" s="2" t="s">
        <v>31</v>
      </c>
      <c r="B7" s="2">
        <v>224.4</v>
      </c>
      <c r="C7" s="2">
        <v>56</v>
      </c>
    </row>
    <row r="8" spans="1:3" x14ac:dyDescent="0.25">
      <c r="A8" s="2" t="s">
        <v>32</v>
      </c>
      <c r="B8" s="2">
        <v>4.8</v>
      </c>
      <c r="C8" s="2">
        <v>13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9D6D-6FE0-48FA-BE1B-8F7BE5BCC366}">
  <dimension ref="A1:B8"/>
  <sheetViews>
    <sheetView workbookViewId="0">
      <selection sqref="A1:B8"/>
    </sheetView>
  </sheetViews>
  <sheetFormatPr defaultRowHeight="14" x14ac:dyDescent="0.25"/>
  <cols>
    <col min="1" max="1" width="14.6328125" customWidth="1"/>
    <col min="2" max="2" width="13.36328125" customWidth="1"/>
  </cols>
  <sheetData>
    <row r="1" spans="1:2" ht="22.5" x14ac:dyDescent="0.25">
      <c r="A1" s="14" t="s">
        <v>44</v>
      </c>
      <c r="B1" s="14"/>
    </row>
    <row r="2" spans="1:2" ht="15.5" x14ac:dyDescent="0.25">
      <c r="A2" s="2" t="s">
        <v>36</v>
      </c>
      <c r="B2" s="2" t="s">
        <v>43</v>
      </c>
    </row>
    <row r="3" spans="1:2" ht="15.5" x14ac:dyDescent="0.25">
      <c r="A3" s="2" t="s">
        <v>37</v>
      </c>
      <c r="B3" s="2">
        <v>69470</v>
      </c>
    </row>
    <row r="4" spans="1:2" ht="15.5" x14ac:dyDescent="0.25">
      <c r="A4" s="2" t="s">
        <v>38</v>
      </c>
      <c r="B4" s="2">
        <v>68587</v>
      </c>
    </row>
    <row r="5" spans="1:2" ht="15.5" x14ac:dyDescent="0.25">
      <c r="A5" s="2" t="s">
        <v>39</v>
      </c>
      <c r="B5" s="2">
        <v>75877</v>
      </c>
    </row>
    <row r="6" spans="1:2" ht="15.5" x14ac:dyDescent="0.25">
      <c r="A6" s="2" t="s">
        <v>40</v>
      </c>
      <c r="B6" s="2">
        <v>60789</v>
      </c>
    </row>
    <row r="7" spans="1:2" ht="15.5" x14ac:dyDescent="0.25">
      <c r="A7" s="2" t="s">
        <v>41</v>
      </c>
      <c r="B7" s="2">
        <v>49356</v>
      </c>
    </row>
    <row r="8" spans="1:2" ht="15.5" x14ac:dyDescent="0.25">
      <c r="A8" s="2" t="s">
        <v>42</v>
      </c>
      <c r="B8" s="2">
        <v>64764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CAF3-5355-4AC5-9682-F126A9526B7B}">
  <dimension ref="A1:K3"/>
  <sheetViews>
    <sheetView workbookViewId="0">
      <selection activeCell="H15" sqref="H15"/>
    </sheetView>
  </sheetViews>
  <sheetFormatPr defaultRowHeight="14" x14ac:dyDescent="0.25"/>
  <cols>
    <col min="1" max="1" width="11.26953125" customWidth="1"/>
  </cols>
  <sheetData>
    <row r="1" spans="1:11" ht="22.5" x14ac:dyDescent="0.25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5" x14ac:dyDescent="0.25">
      <c r="A2" s="2" t="s">
        <v>0</v>
      </c>
      <c r="B2" s="2">
        <v>2010</v>
      </c>
      <c r="C2" s="2">
        <v>2011</v>
      </c>
      <c r="D2" s="2">
        <v>2012</v>
      </c>
      <c r="E2" s="2">
        <v>2013</v>
      </c>
      <c r="F2" s="2">
        <v>2014</v>
      </c>
      <c r="G2" s="2">
        <v>2015</v>
      </c>
      <c r="H2" s="2">
        <v>2016</v>
      </c>
      <c r="I2" s="2">
        <v>2017</v>
      </c>
      <c r="J2" s="2">
        <v>2018</v>
      </c>
      <c r="K2" s="2">
        <v>2019</v>
      </c>
    </row>
    <row r="3" spans="1:11" ht="31" x14ac:dyDescent="0.25">
      <c r="A3" s="3" t="s">
        <v>21</v>
      </c>
      <c r="B3" s="2">
        <v>70.2</v>
      </c>
      <c r="C3" s="2">
        <v>60.4</v>
      </c>
      <c r="D3" s="2">
        <v>47.6</v>
      </c>
      <c r="E3" s="2">
        <v>45.85</v>
      </c>
      <c r="F3" s="2">
        <v>51.7</v>
      </c>
      <c r="G3" s="2">
        <v>35.299999999999997</v>
      </c>
      <c r="H3" s="2">
        <v>29.87</v>
      </c>
      <c r="I3" s="2">
        <v>29.06</v>
      </c>
      <c r="J3" s="2">
        <v>24.21</v>
      </c>
      <c r="K3" s="2">
        <v>18.22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5280-9CFE-4A0F-9D54-8211BAFABE49}">
  <dimension ref="A1:B9"/>
  <sheetViews>
    <sheetView tabSelected="1" workbookViewId="0">
      <selection activeCell="F20" sqref="F20"/>
    </sheetView>
  </sheetViews>
  <sheetFormatPr defaultRowHeight="14" x14ac:dyDescent="0.25"/>
  <cols>
    <col min="1" max="1" width="14.1796875" customWidth="1"/>
    <col min="2" max="2" width="17.6328125" customWidth="1"/>
  </cols>
  <sheetData>
    <row r="1" spans="1:2" ht="22.5" x14ac:dyDescent="0.25">
      <c r="A1" s="14" t="s">
        <v>63</v>
      </c>
      <c r="B1" s="14"/>
    </row>
    <row r="2" spans="1:2" ht="15.5" x14ac:dyDescent="0.25">
      <c r="A2" s="6" t="s">
        <v>56</v>
      </c>
      <c r="B2" s="6" t="s">
        <v>99</v>
      </c>
    </row>
    <row r="3" spans="1:2" ht="15.5" x14ac:dyDescent="0.25">
      <c r="A3" s="2" t="s">
        <v>58</v>
      </c>
      <c r="B3" s="13">
        <v>151.1</v>
      </c>
    </row>
    <row r="4" spans="1:2" ht="15.5" x14ac:dyDescent="0.25">
      <c r="A4" s="2" t="s">
        <v>15</v>
      </c>
      <c r="B4" s="13">
        <v>844.73</v>
      </c>
    </row>
    <row r="5" spans="1:2" ht="15.5" x14ac:dyDescent="0.25">
      <c r="A5" s="2" t="s">
        <v>61</v>
      </c>
      <c r="B5" s="13">
        <v>36.9</v>
      </c>
    </row>
    <row r="6" spans="1:2" ht="15.5" x14ac:dyDescent="0.25">
      <c r="A6" s="2" t="s">
        <v>59</v>
      </c>
      <c r="B6" s="13">
        <v>132.26</v>
      </c>
    </row>
    <row r="7" spans="1:2" ht="15.5" x14ac:dyDescent="0.25">
      <c r="A7" s="2" t="s">
        <v>60</v>
      </c>
      <c r="B7" s="13">
        <v>68.3</v>
      </c>
    </row>
    <row r="8" spans="1:2" ht="15.5" x14ac:dyDescent="0.25">
      <c r="A8" s="2" t="s">
        <v>62</v>
      </c>
      <c r="B8" s="13">
        <v>35.159999999999997</v>
      </c>
    </row>
    <row r="9" spans="1:2" ht="15.5" x14ac:dyDescent="0.25">
      <c r="A9" s="2" t="s">
        <v>57</v>
      </c>
      <c r="B9" s="13">
        <v>464.18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柱形图</vt:lpstr>
      <vt:lpstr>饼图</vt:lpstr>
      <vt:lpstr>散点图</vt:lpstr>
      <vt:lpstr>折线图</vt:lpstr>
      <vt:lpstr>平均线图</vt:lpstr>
      <vt:lpstr>双坐标图</vt:lpstr>
      <vt:lpstr>竖形折线图</vt:lpstr>
      <vt:lpstr>瀑布图</vt:lpstr>
      <vt:lpstr>帕累托图</vt:lpstr>
      <vt:lpstr>旋风图</vt:lpstr>
      <vt:lpstr>金字塔图</vt:lpstr>
      <vt:lpstr>漏斗图</vt:lpstr>
      <vt:lpstr>矩形树图</vt:lpstr>
      <vt:lpstr>气泡图</vt:lpstr>
      <vt:lpstr>图6-134</vt:lpstr>
      <vt:lpstr>图6-135</vt:lpstr>
      <vt:lpstr>课后案例分析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木鱼</dc:creator>
  <cp:lastModifiedBy>LIRONG YAN</cp:lastModifiedBy>
  <dcterms:created xsi:type="dcterms:W3CDTF">2016-01-18T03:25:30Z</dcterms:created>
  <dcterms:modified xsi:type="dcterms:W3CDTF">2022-04-30T09:05:56Z</dcterms:modified>
</cp:coreProperties>
</file>